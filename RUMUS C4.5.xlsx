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2B7B5C3-6356-444A-A54E-16FBB64CA007}" xr6:coauthVersionLast="47" xr6:coauthVersionMax="47" xr10:uidLastSave="{00000000-0000-0000-0000-000000000000}"/>
  <bookViews>
    <workbookView xWindow="-120" yWindow="-120" windowWidth="20730" windowHeight="11040" firstSheet="5" activeTab="5" xr2:uid="{BC5CEE82-C924-4F7E-9B9B-51F9E372D2BC}"/>
  </bookViews>
  <sheets>
    <sheet name="Dataset" sheetId="1" r:id="rId1"/>
    <sheet name="Entropy Awal" sheetId="2" r:id="rId2"/>
    <sheet name="Threshold Berat + Gain" sheetId="3" r:id="rId3"/>
    <sheet name="Threshold Diameter + gain" sheetId="4" r:id="rId4"/>
    <sheet name="Entropy Kondisi Cangkang + Gain" sheetId="5" r:id="rId5"/>
    <sheet name="Warna Cangkang + Gain" sheetId="6" r:id="rId6"/>
    <sheet name="Rekap Gain" sheetId="8" r:id="rId7"/>
    <sheet name="Pohon Keputusan" sheetId="11" r:id="rId8"/>
    <sheet name="Rule C4.5" sheetId="12" r:id="rId9"/>
    <sheet name="Pengujian C45 Confusion Matrix" sheetId="13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3" l="1"/>
  <c r="C38" i="13"/>
  <c r="C37" i="13"/>
  <c r="C36" i="13"/>
  <c r="E4" i="13"/>
  <c r="E6" i="13"/>
  <c r="E8" i="13"/>
  <c r="E10" i="13"/>
  <c r="E12" i="13"/>
  <c r="E14" i="13"/>
  <c r="E16" i="13"/>
  <c r="E18" i="13"/>
  <c r="E20" i="13"/>
  <c r="E2" i="13"/>
  <c r="D2" i="13"/>
  <c r="B26" i="13" s="1"/>
  <c r="D3" i="13"/>
  <c r="E3" i="13" s="1"/>
  <c r="D4" i="13"/>
  <c r="D5" i="13"/>
  <c r="E5" i="13" s="1"/>
  <c r="D6" i="13"/>
  <c r="D7" i="13"/>
  <c r="E7" i="13" s="1"/>
  <c r="D8" i="13"/>
  <c r="D9" i="13"/>
  <c r="E9" i="13" s="1"/>
  <c r="D10" i="13"/>
  <c r="D11" i="13"/>
  <c r="E11" i="13" s="1"/>
  <c r="D12" i="13"/>
  <c r="D13" i="13"/>
  <c r="B28" i="13" s="1"/>
  <c r="D14" i="13"/>
  <c r="D15" i="13"/>
  <c r="E15" i="13" s="1"/>
  <c r="D16" i="13"/>
  <c r="D17" i="13"/>
  <c r="E17" i="13" s="1"/>
  <c r="D18" i="13"/>
  <c r="D19" i="13"/>
  <c r="E19" i="13" s="1"/>
  <c r="D20" i="13"/>
  <c r="D21" i="13"/>
  <c r="E21" i="13" s="1"/>
  <c r="G3" i="6"/>
  <c r="B8" i="5"/>
  <c r="B7" i="5"/>
  <c r="D3" i="5"/>
  <c r="D2" i="5"/>
  <c r="C3" i="5"/>
  <c r="C2" i="5"/>
  <c r="C4" i="5" s="1"/>
  <c r="B3" i="5"/>
  <c r="B2" i="5"/>
  <c r="I7" i="3"/>
  <c r="K7" i="3"/>
  <c r="J7" i="3"/>
  <c r="G7" i="3"/>
  <c r="F7" i="3"/>
  <c r="E7" i="3"/>
  <c r="D7" i="3"/>
  <c r="G4" i="6"/>
  <c r="H4" i="6" s="1"/>
  <c r="G2" i="6"/>
  <c r="F3" i="6"/>
  <c r="F4" i="6"/>
  <c r="F2" i="6"/>
  <c r="E3" i="6"/>
  <c r="E4" i="6"/>
  <c r="E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" i="4"/>
  <c r="K20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" i="4"/>
  <c r="K3" i="3"/>
  <c r="K4" i="3"/>
  <c r="K5" i="3"/>
  <c r="K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" i="3"/>
  <c r="G3" i="3"/>
  <c r="J3" i="3" s="1"/>
  <c r="G4" i="3"/>
  <c r="J4" i="3" s="1"/>
  <c r="G5" i="3"/>
  <c r="J5" i="3" s="1"/>
  <c r="G6" i="3"/>
  <c r="J6" i="3" s="1"/>
  <c r="G8" i="3"/>
  <c r="J8" i="3" s="1"/>
  <c r="G9" i="3"/>
  <c r="J9" i="3" s="1"/>
  <c r="G10" i="3"/>
  <c r="J10" i="3" s="1"/>
  <c r="G11" i="3"/>
  <c r="J11" i="3" s="1"/>
  <c r="G12" i="3"/>
  <c r="J12" i="3" s="1"/>
  <c r="G13" i="3"/>
  <c r="J13" i="3" s="1"/>
  <c r="G14" i="3"/>
  <c r="J14" i="3" s="1"/>
  <c r="G15" i="3"/>
  <c r="J15" i="3" s="1"/>
  <c r="G16" i="3"/>
  <c r="J16" i="3" s="1"/>
  <c r="G17" i="3"/>
  <c r="J17" i="3" s="1"/>
  <c r="G18" i="3"/>
  <c r="J18" i="3" s="1"/>
  <c r="G19" i="3"/>
  <c r="J19" i="3" s="1"/>
  <c r="G20" i="3"/>
  <c r="J20" i="3" s="1"/>
  <c r="G2" i="3"/>
  <c r="J2" i="3" s="1"/>
  <c r="F3" i="3"/>
  <c r="F4" i="3"/>
  <c r="L4" i="3" s="1"/>
  <c r="F5" i="3"/>
  <c r="F6" i="3"/>
  <c r="L6" i="3" s="1"/>
  <c r="F8" i="3"/>
  <c r="F9" i="3"/>
  <c r="L9" i="3" s="1"/>
  <c r="F10" i="3"/>
  <c r="F11" i="3"/>
  <c r="L11" i="3" s="1"/>
  <c r="F12" i="3"/>
  <c r="L12" i="3" s="1"/>
  <c r="F13" i="3"/>
  <c r="L13" i="3" s="1"/>
  <c r="F14" i="3"/>
  <c r="L14" i="3" s="1"/>
  <c r="F15" i="3"/>
  <c r="L15" i="3" s="1"/>
  <c r="F16" i="3"/>
  <c r="L16" i="3" s="1"/>
  <c r="F17" i="3"/>
  <c r="L17" i="3" s="1"/>
  <c r="F18" i="3"/>
  <c r="L18" i="3" s="1"/>
  <c r="F19" i="3"/>
  <c r="L19" i="3" s="1"/>
  <c r="F20" i="3"/>
  <c r="L20" i="3" s="1"/>
  <c r="F2" i="3"/>
  <c r="L2" i="3" s="1"/>
  <c r="E3" i="3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D3" i="3"/>
  <c r="D4" i="3"/>
  <c r="D5" i="3"/>
  <c r="D6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" i="3"/>
  <c r="C6" i="2"/>
  <c r="C4" i="2"/>
  <c r="C3" i="2"/>
  <c r="B27" i="13" l="1"/>
  <c r="B25" i="13"/>
  <c r="E13" i="13"/>
  <c r="B4" i="5"/>
  <c r="E3" i="5"/>
  <c r="D4" i="5"/>
  <c r="E2" i="5"/>
  <c r="N14" i="3"/>
  <c r="O14" i="3" s="1"/>
  <c r="L10" i="3"/>
  <c r="N10" i="3" s="1"/>
  <c r="O10" i="3" s="1"/>
  <c r="I10" i="3"/>
  <c r="M10" i="3" s="1"/>
  <c r="L8" i="3"/>
  <c r="N8" i="3" s="1"/>
  <c r="O8" i="3" s="1"/>
  <c r="I8" i="3"/>
  <c r="M8" i="3" s="1"/>
  <c r="L5" i="3"/>
  <c r="N5" i="3" s="1"/>
  <c r="O5" i="3" s="1"/>
  <c r="I5" i="3"/>
  <c r="M5" i="3" s="1"/>
  <c r="L3" i="3"/>
  <c r="N3" i="3" s="1"/>
  <c r="O3" i="3" s="1"/>
  <c r="I3" i="3"/>
  <c r="M3" i="3" s="1"/>
  <c r="I18" i="3"/>
  <c r="M18" i="3" s="1"/>
  <c r="N18" i="3" s="1"/>
  <c r="O18" i="3" s="1"/>
  <c r="I14" i="3"/>
  <c r="M14" i="3" s="1"/>
  <c r="I20" i="3"/>
  <c r="M20" i="3" s="1"/>
  <c r="N20" i="3" s="1"/>
  <c r="O20" i="3" s="1"/>
  <c r="I16" i="3"/>
  <c r="M16" i="3" s="1"/>
  <c r="N16" i="3" s="1"/>
  <c r="O16" i="3" s="1"/>
  <c r="I12" i="3"/>
  <c r="M12" i="3" s="1"/>
  <c r="N12" i="3" s="1"/>
  <c r="O12" i="3" s="1"/>
  <c r="I2" i="3"/>
  <c r="M2" i="3" s="1"/>
  <c r="N2" i="3" s="1"/>
  <c r="O2" i="3" s="1"/>
  <c r="I19" i="3"/>
  <c r="M19" i="3" s="1"/>
  <c r="N19" i="3" s="1"/>
  <c r="O19" i="3" s="1"/>
  <c r="I17" i="3"/>
  <c r="M17" i="3" s="1"/>
  <c r="N17" i="3" s="1"/>
  <c r="O17" i="3" s="1"/>
  <c r="I15" i="3"/>
  <c r="M15" i="3" s="1"/>
  <c r="N15" i="3" s="1"/>
  <c r="O15" i="3" s="1"/>
  <c r="I13" i="3"/>
  <c r="M13" i="3" s="1"/>
  <c r="N13" i="3" s="1"/>
  <c r="O13" i="3" s="1"/>
  <c r="I11" i="3"/>
  <c r="M11" i="3" s="1"/>
  <c r="N11" i="3" s="1"/>
  <c r="O11" i="3" s="1"/>
  <c r="I9" i="3"/>
  <c r="M9" i="3" s="1"/>
  <c r="N9" i="3" s="1"/>
  <c r="O9" i="3" s="1"/>
  <c r="I6" i="3"/>
  <c r="M6" i="3" s="1"/>
  <c r="N6" i="3" s="1"/>
  <c r="O6" i="3" s="1"/>
  <c r="I4" i="3"/>
  <c r="M4" i="3" s="1"/>
  <c r="N4" i="3" s="1"/>
  <c r="O4" i="3" s="1"/>
  <c r="C5" i="2"/>
  <c r="M7" i="3"/>
  <c r="L7" i="3" l="1"/>
  <c r="N7" i="3" s="1"/>
  <c r="O7" i="3" s="1"/>
</calcChain>
</file>

<file path=xl/sharedStrings.xml><?xml version="1.0" encoding="utf-8"?>
<sst xmlns="http://schemas.openxmlformats.org/spreadsheetml/2006/main" count="330" uniqueCount="145">
  <si>
    <t>ID Telur</t>
  </si>
  <si>
    <t>Berat (Gram)</t>
  </si>
  <si>
    <t>Diameter (Cm)</t>
  </si>
  <si>
    <t>Kondisi Cangkang</t>
  </si>
  <si>
    <t>Warna Cangkang</t>
  </si>
  <si>
    <t>Kualitas (Label)</t>
  </si>
  <si>
    <t>TLR-20260421-001</t>
  </si>
  <si>
    <t>62.5</t>
  </si>
  <si>
    <t>4.3</t>
  </si>
  <si>
    <t>Normal</t>
  </si>
  <si>
    <t>Cokelat Tua</t>
  </si>
  <si>
    <t>Layak Jual</t>
  </si>
  <si>
    <t>TLR-20260421-002</t>
  </si>
  <si>
    <t>64.0</t>
  </si>
  <si>
    <t>4.5</t>
  </si>
  <si>
    <t>TLR-20260421-003</t>
  </si>
  <si>
    <t>58.0</t>
  </si>
  <si>
    <t>4.1</t>
  </si>
  <si>
    <t>TLR-20260421-004</t>
  </si>
  <si>
    <t>60.2</t>
  </si>
  <si>
    <t>4.2</t>
  </si>
  <si>
    <t>Cokelat Muda</t>
  </si>
  <si>
    <t>TLR-20260421-005</t>
  </si>
  <si>
    <t>61.5</t>
  </si>
  <si>
    <t>TLR-20260421-006</t>
  </si>
  <si>
    <t>59.0</t>
  </si>
  <si>
    <t>4.0</t>
  </si>
  <si>
    <t>TLR-20260421-007</t>
  </si>
  <si>
    <t>63.1</t>
  </si>
  <si>
    <t>4.4</t>
  </si>
  <si>
    <t>TLR-20260421-008</t>
  </si>
  <si>
    <t>65.2</t>
  </si>
  <si>
    <t>4.6</t>
  </si>
  <si>
    <t>TLR-20260421-009</t>
  </si>
  <si>
    <t>57.5</t>
  </si>
  <si>
    <t>TLR-20260421-010</t>
  </si>
  <si>
    <t>56.0</t>
  </si>
  <si>
    <t>3.9</t>
  </si>
  <si>
    <t>TLR-20260421-011</t>
  </si>
  <si>
    <t>60.0</t>
  </si>
  <si>
    <t>TLR-20260421-012</t>
  </si>
  <si>
    <t>45.2</t>
  </si>
  <si>
    <t>3.5</t>
  </si>
  <si>
    <t>TLR-20260421-013</t>
  </si>
  <si>
    <t>55.0</t>
  </si>
  <si>
    <t>3.8</t>
  </si>
  <si>
    <t>Retak</t>
  </si>
  <si>
    <t>TLR-20260421-014</t>
  </si>
  <si>
    <t>58.5</t>
  </si>
  <si>
    <t>TLR-20260421-015</t>
  </si>
  <si>
    <t>56.2</t>
  </si>
  <si>
    <t>TLR-20260421-016</t>
  </si>
  <si>
    <t>48.0</t>
  </si>
  <si>
    <t>3.6</t>
  </si>
  <si>
    <t>TLR-20260421-017</t>
  </si>
  <si>
    <t>49.5</t>
  </si>
  <si>
    <t>3.7</t>
  </si>
  <si>
    <t>TLR-20260421-018</t>
  </si>
  <si>
    <t>51.0</t>
  </si>
  <si>
    <t>TLR-20260421-019</t>
  </si>
  <si>
    <t>46.8</t>
  </si>
  <si>
    <t>TLR-20260421-020</t>
  </si>
  <si>
    <t>50.2</t>
  </si>
  <si>
    <t>Tidak Layak Jual</t>
  </si>
  <si>
    <t>Column1</t>
  </si>
  <si>
    <t>Column2</t>
  </si>
  <si>
    <t>Column3</t>
  </si>
  <si>
    <t>kelas</t>
  </si>
  <si>
    <t>jumlah</t>
  </si>
  <si>
    <t>proporsi</t>
  </si>
  <si>
    <t>Jumlah</t>
  </si>
  <si>
    <t>Entropy</t>
  </si>
  <si>
    <t>No</t>
  </si>
  <si>
    <t>Threshold</t>
  </si>
  <si>
    <r>
      <t xml:space="preserve">Jumlah </t>
    </r>
    <r>
      <rPr>
        <sz val="11"/>
        <color theme="1"/>
        <rFont val="Calibri"/>
        <family val="2"/>
      </rPr>
      <t xml:space="preserve">≤ </t>
    </r>
  </si>
  <si>
    <r>
      <t xml:space="preserve">Layak Jual </t>
    </r>
    <r>
      <rPr>
        <sz val="11"/>
        <color theme="1"/>
        <rFont val="Calibri"/>
        <family val="2"/>
      </rPr>
      <t>≤</t>
    </r>
  </si>
  <si>
    <t>Nilai Berat</t>
  </si>
  <si>
    <t>Nilai Berikutnya</t>
  </si>
  <si>
    <t>Label</t>
  </si>
  <si>
    <r>
      <t xml:space="preserve">Tidak Layak Jual </t>
    </r>
    <r>
      <rPr>
        <sz val="11"/>
        <color theme="1"/>
        <rFont val="Calibri"/>
        <family val="2"/>
      </rPr>
      <t>≤</t>
    </r>
  </si>
  <si>
    <t>Layak Jual &gt;</t>
  </si>
  <si>
    <t>Tidak Layak Jual &gt;</t>
  </si>
  <si>
    <r>
      <t xml:space="preserve">Entropy </t>
    </r>
    <r>
      <rPr>
        <sz val="11"/>
        <color theme="1"/>
        <rFont val="Calibri"/>
        <family val="2"/>
      </rPr>
      <t>≤</t>
    </r>
  </si>
  <si>
    <t>Entropy &gt;</t>
  </si>
  <si>
    <t>Entropy Tertimbang</t>
  </si>
  <si>
    <t>Gain</t>
  </si>
  <si>
    <t>jumlah &gt;</t>
  </si>
  <si>
    <t>Nilai Diameter</t>
  </si>
  <si>
    <r>
      <t xml:space="preserve">Jumlah </t>
    </r>
    <r>
      <rPr>
        <sz val="11"/>
        <color theme="1"/>
        <rFont val="Calibri"/>
        <family val="2"/>
      </rPr>
      <t>≤</t>
    </r>
  </si>
  <si>
    <t>Jumlah &gt;</t>
  </si>
  <si>
    <t>Proporsi</t>
  </si>
  <si>
    <t>Total</t>
  </si>
  <si>
    <t>Kondi Cangkang</t>
  </si>
  <si>
    <t>warna cangkang</t>
  </si>
  <si>
    <t>Entropy tertimbang</t>
  </si>
  <si>
    <t>Atribut</t>
  </si>
  <si>
    <t>Gain Tertinggi</t>
  </si>
  <si>
    <t>Threshold/Kategori Terbaik</t>
  </si>
  <si>
    <t>Berat</t>
  </si>
  <si>
    <t>Diameter</t>
  </si>
  <si>
    <t>53 gram</t>
  </si>
  <si>
    <t>3,85 cm</t>
  </si>
  <si>
    <t xml:space="preserve">Tentukan Gain Terbesar: 0,881291 &gt; 0,674205 &gt; 0,395816 &gt; 0,324890 </t>
  </si>
  <si>
    <t>Maka Root Node C4.5: BERAT dengan Threshold 53 gram</t>
  </si>
  <si>
    <t>Node</t>
  </si>
  <si>
    <t>Kondisi</t>
  </si>
  <si>
    <t>Jumlah Data</t>
  </si>
  <si>
    <t>Keputusan</t>
  </si>
  <si>
    <t>Root</t>
  </si>
  <si>
    <t>Cabang 1</t>
  </si>
  <si>
    <t>Cabnag 2</t>
  </si>
  <si>
    <t>Semua Data</t>
  </si>
  <si>
    <r>
      <t xml:space="preserve">Berat </t>
    </r>
    <r>
      <rPr>
        <sz val="11"/>
        <color theme="1"/>
        <rFont val="Calibri"/>
        <family val="2"/>
      </rPr>
      <t>≤ 53 gram</t>
    </r>
  </si>
  <si>
    <t>Berat &gt; 53 gram</t>
  </si>
  <si>
    <t>Split Berat</t>
  </si>
  <si>
    <t>kondisi</t>
  </si>
  <si>
    <t>Hasil</t>
  </si>
  <si>
    <t xml:space="preserve"> </t>
  </si>
  <si>
    <t>entropy</t>
  </si>
  <si>
    <t xml:space="preserve">Perhitungan </t>
  </si>
  <si>
    <t>entropy Tertimbang</t>
  </si>
  <si>
    <t>Gain Kondisi Cangkang</t>
  </si>
  <si>
    <t>Keterangan</t>
  </si>
  <si>
    <t>Label Aktual</t>
  </si>
  <si>
    <t>Prediksi C4.5</t>
  </si>
  <si>
    <t>Komponen</t>
  </si>
  <si>
    <t>TP</t>
  </si>
  <si>
    <t>FN</t>
  </si>
  <si>
    <t>FP</t>
  </si>
  <si>
    <t>TN</t>
  </si>
  <si>
    <t>TP = Aktual Layak Jual, Prediksi Layak Jual</t>
  </si>
  <si>
    <t>FN = Aktual Layak Jual, Prediksi Tidak Layak Jual</t>
  </si>
  <si>
    <t>FP = Aktual Tidak Layak Jual, Prediksi Layak Jual</t>
  </si>
  <si>
    <t>TN = Aktual Tidak Layak Jual, Prediski Tidak Layak Jual</t>
  </si>
  <si>
    <t>Metrik Evaluasi</t>
  </si>
  <si>
    <t>Rumus</t>
  </si>
  <si>
    <t>Accuracy</t>
  </si>
  <si>
    <t>Precision</t>
  </si>
  <si>
    <t>Recall</t>
  </si>
  <si>
    <t>F1-Score</t>
  </si>
  <si>
    <t>TP / (TP + FP) × 100%</t>
  </si>
  <si>
    <t>(TP + TN) / (TP + TN + FP + FN) × 100%</t>
  </si>
  <si>
    <t>TP / (TP + FN) × 100%</t>
  </si>
  <si>
    <t>2 × (Precision × Recall) / (Precision + Recall) × 100%</t>
  </si>
  <si>
    <t xml:space="preserve"> Total = 14 + 0 + 0 +6 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</si>
</sst>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6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A4E46-8EA3-4E25-B8A2-B89AC2689329}" name="Table1" displayName="Table1" ref="A1:C6" totalsRowCount="1">
  <autoFilter ref="A1:C5" xr:uid="{54CA4E46-8EA3-4E25-B8A2-B89AC2689329}"/>
  <tableColumns count="3">
    <tableColumn id="1" xr3:uid="{2AAD93C3-389B-419E-B097-D409AEF50FA9}" name="Column1" totalsRowLabel="Entropy" dataDxfId="5" totalsRowDxfId="4"/>
    <tableColumn id="2" xr3:uid="{A1B2FA8A-3E7E-46A7-BC09-25AF923795FA}" name="Column2" dataDxfId="3" totalsRowDxfId="2"/>
    <tableColumn id="3" xr3:uid="{5E61C40F-B78B-41ED-926A-D2A55956BE23}" name="Column3" totalsRowFunction="custom" dataDxfId="1" totalsRowDxfId="0">
      <totalsRowFormula>-(C3*LOG(C3,2)+C4*LOG(C4,2))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725C-1C3C-4C4B-9816-A68BCFB9B34C}">
  <dimension ref="A1:F21"/>
  <sheetViews>
    <sheetView zoomScale="62" workbookViewId="0">
      <selection activeCell="H17" sqref="H17"/>
    </sheetView>
  </sheetViews>
  <sheetFormatPr defaultRowHeight="15" x14ac:dyDescent="0.25"/>
  <cols>
    <col min="1" max="1" width="21.42578125" customWidth="1"/>
    <col min="2" max="2" width="14.5703125" customWidth="1"/>
    <col min="3" max="3" width="13.5703125" customWidth="1"/>
    <col min="4" max="4" width="14.85546875" customWidth="1"/>
    <col min="5" max="5" width="12.7109375" customWidth="1"/>
    <col min="6" max="6" width="18.85546875" customWidth="1"/>
  </cols>
  <sheetData>
    <row r="1" spans="1:6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7.2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7.25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ht="47.25" x14ac:dyDescent="0.25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11</v>
      </c>
    </row>
    <row r="5" spans="1:6" ht="47.25" x14ac:dyDescent="0.25">
      <c r="A5" s="2" t="s">
        <v>18</v>
      </c>
      <c r="B5" s="2" t="s">
        <v>19</v>
      </c>
      <c r="C5" s="2" t="s">
        <v>20</v>
      </c>
      <c r="D5" s="2" t="s">
        <v>9</v>
      </c>
      <c r="E5" s="2" t="s">
        <v>21</v>
      </c>
      <c r="F5" s="2" t="s">
        <v>11</v>
      </c>
    </row>
    <row r="6" spans="1:6" ht="47.25" x14ac:dyDescent="0.25">
      <c r="A6" s="2" t="s">
        <v>22</v>
      </c>
      <c r="B6" s="2" t="s">
        <v>23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ht="47.25" x14ac:dyDescent="0.25">
      <c r="A7" s="2" t="s">
        <v>24</v>
      </c>
      <c r="B7" s="2" t="s">
        <v>25</v>
      </c>
      <c r="C7" s="2" t="s">
        <v>26</v>
      </c>
      <c r="D7" s="2" t="s">
        <v>9</v>
      </c>
      <c r="E7" s="2" t="s">
        <v>21</v>
      </c>
      <c r="F7" s="2" t="s">
        <v>11</v>
      </c>
    </row>
    <row r="8" spans="1:6" ht="47.25" x14ac:dyDescent="0.25">
      <c r="A8" s="2" t="s">
        <v>27</v>
      </c>
      <c r="B8" s="2" t="s">
        <v>28</v>
      </c>
      <c r="C8" s="2" t="s">
        <v>29</v>
      </c>
      <c r="D8" s="2" t="s">
        <v>9</v>
      </c>
      <c r="E8" s="2" t="s">
        <v>10</v>
      </c>
      <c r="F8" s="2" t="s">
        <v>11</v>
      </c>
    </row>
    <row r="9" spans="1:6" ht="47.25" x14ac:dyDescent="0.25">
      <c r="A9" s="2" t="s">
        <v>30</v>
      </c>
      <c r="B9" s="2" t="s">
        <v>31</v>
      </c>
      <c r="C9" s="2" t="s">
        <v>32</v>
      </c>
      <c r="D9" s="2" t="s">
        <v>9</v>
      </c>
      <c r="E9" s="2" t="s">
        <v>10</v>
      </c>
      <c r="F9" s="2" t="s">
        <v>11</v>
      </c>
    </row>
    <row r="10" spans="1:6" ht="47.25" x14ac:dyDescent="0.25">
      <c r="A10" s="2" t="s">
        <v>33</v>
      </c>
      <c r="B10" s="2" t="s">
        <v>34</v>
      </c>
      <c r="C10" s="2" t="s">
        <v>17</v>
      </c>
      <c r="D10" s="2" t="s">
        <v>9</v>
      </c>
      <c r="E10" s="2" t="s">
        <v>21</v>
      </c>
      <c r="F10" s="2" t="s">
        <v>11</v>
      </c>
    </row>
    <row r="11" spans="1:6" ht="47.25" x14ac:dyDescent="0.25">
      <c r="A11" s="2" t="s">
        <v>35</v>
      </c>
      <c r="B11" s="2" t="s">
        <v>36</v>
      </c>
      <c r="C11" s="2" t="s">
        <v>37</v>
      </c>
      <c r="D11" s="2" t="s">
        <v>9</v>
      </c>
      <c r="E11" s="2" t="s">
        <v>21</v>
      </c>
      <c r="F11" s="2" t="s">
        <v>11</v>
      </c>
    </row>
    <row r="12" spans="1:6" ht="47.25" x14ac:dyDescent="0.25">
      <c r="A12" s="2" t="s">
        <v>38</v>
      </c>
      <c r="B12" s="2" t="s">
        <v>39</v>
      </c>
      <c r="C12" s="2" t="s">
        <v>20</v>
      </c>
      <c r="D12" s="2" t="s">
        <v>9</v>
      </c>
      <c r="E12" s="2" t="s">
        <v>10</v>
      </c>
      <c r="F12" s="2" t="s">
        <v>11</v>
      </c>
    </row>
    <row r="13" spans="1:6" ht="31.5" x14ac:dyDescent="0.25">
      <c r="A13" s="2" t="s">
        <v>40</v>
      </c>
      <c r="B13" s="2" t="s">
        <v>41</v>
      </c>
      <c r="C13" s="2" t="s">
        <v>42</v>
      </c>
      <c r="D13" s="2" t="s">
        <v>9</v>
      </c>
      <c r="E13" s="2" t="s">
        <v>21</v>
      </c>
      <c r="F13" s="2" t="s">
        <v>63</v>
      </c>
    </row>
    <row r="14" spans="1:6" ht="47.25" x14ac:dyDescent="0.2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21</v>
      </c>
      <c r="F14" s="2" t="s">
        <v>11</v>
      </c>
    </row>
    <row r="15" spans="1:6" ht="47.25" x14ac:dyDescent="0.25">
      <c r="A15" s="2" t="s">
        <v>47</v>
      </c>
      <c r="B15" s="2" t="s">
        <v>48</v>
      </c>
      <c r="C15" s="2" t="s">
        <v>26</v>
      </c>
      <c r="D15" s="2" t="s">
        <v>46</v>
      </c>
      <c r="E15" s="2" t="s">
        <v>10</v>
      </c>
      <c r="F15" s="2" t="s">
        <v>11</v>
      </c>
    </row>
    <row r="16" spans="1:6" ht="47.25" x14ac:dyDescent="0.25">
      <c r="A16" s="2" t="s">
        <v>49</v>
      </c>
      <c r="B16" s="2" t="s">
        <v>50</v>
      </c>
      <c r="C16" s="2" t="s">
        <v>37</v>
      </c>
      <c r="D16" s="2" t="s">
        <v>46</v>
      </c>
      <c r="E16" s="2" t="s">
        <v>21</v>
      </c>
      <c r="F16" s="2" t="s">
        <v>11</v>
      </c>
    </row>
    <row r="17" spans="1:6" ht="31.5" x14ac:dyDescent="0.25">
      <c r="A17" s="2" t="s">
        <v>51</v>
      </c>
      <c r="B17" s="2" t="s">
        <v>52</v>
      </c>
      <c r="C17" s="2" t="s">
        <v>53</v>
      </c>
      <c r="D17" s="2" t="s">
        <v>46</v>
      </c>
      <c r="E17" s="2" t="s">
        <v>21</v>
      </c>
      <c r="F17" s="2" t="s">
        <v>63</v>
      </c>
    </row>
    <row r="18" spans="1:6" ht="15.75" x14ac:dyDescent="0.25">
      <c r="A18" s="2" t="s">
        <v>54</v>
      </c>
      <c r="B18" s="2" t="s">
        <v>55</v>
      </c>
      <c r="C18" s="2" t="s">
        <v>56</v>
      </c>
      <c r="D18" s="2" t="s">
        <v>46</v>
      </c>
      <c r="E18" s="2" t="s">
        <v>10</v>
      </c>
      <c r="F18" s="2" t="s">
        <v>63</v>
      </c>
    </row>
    <row r="19" spans="1:6" ht="31.5" x14ac:dyDescent="0.25">
      <c r="A19" s="2" t="s">
        <v>57</v>
      </c>
      <c r="B19" s="2" t="s">
        <v>58</v>
      </c>
      <c r="C19" s="2" t="s">
        <v>45</v>
      </c>
      <c r="D19" s="2" t="s">
        <v>46</v>
      </c>
      <c r="E19" s="2" t="s">
        <v>21</v>
      </c>
      <c r="F19" s="2" t="s">
        <v>63</v>
      </c>
    </row>
    <row r="20" spans="1:6" ht="31.5" x14ac:dyDescent="0.25">
      <c r="A20" s="2" t="s">
        <v>59</v>
      </c>
      <c r="B20" s="2" t="s">
        <v>60</v>
      </c>
      <c r="C20" s="2" t="s">
        <v>42</v>
      </c>
      <c r="D20" s="2" t="s">
        <v>46</v>
      </c>
      <c r="E20" s="2" t="s">
        <v>21</v>
      </c>
      <c r="F20" s="2" t="s">
        <v>63</v>
      </c>
    </row>
    <row r="21" spans="1:6" ht="15.75" x14ac:dyDescent="0.25">
      <c r="A21" s="2" t="s">
        <v>61</v>
      </c>
      <c r="B21" s="2" t="s">
        <v>62</v>
      </c>
      <c r="C21" s="2" t="s">
        <v>56</v>
      </c>
      <c r="D21" s="2" t="s">
        <v>46</v>
      </c>
      <c r="E21" s="2" t="s">
        <v>10</v>
      </c>
      <c r="F21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A4F1-4ABC-41B6-B3E2-B2ACE434A58A}">
  <dimension ref="A1:C6"/>
  <sheetViews>
    <sheetView workbookViewId="0">
      <selection activeCell="C21" sqref="C21"/>
    </sheetView>
  </sheetViews>
  <sheetFormatPr defaultRowHeight="15" x14ac:dyDescent="0.25"/>
  <cols>
    <col min="1" max="1" width="15.85546875" customWidth="1"/>
    <col min="2" max="2" width="11.7109375" customWidth="1"/>
    <col min="3" max="3" width="13.85546875" customWidth="1"/>
  </cols>
  <sheetData>
    <row r="1" spans="1:3" x14ac:dyDescent="0.25">
      <c r="A1" t="s">
        <v>64</v>
      </c>
      <c r="B1" t="s">
        <v>65</v>
      </c>
      <c r="C1" t="s">
        <v>66</v>
      </c>
    </row>
    <row r="2" spans="1:3" x14ac:dyDescent="0.25">
      <c r="A2" s="4" t="s">
        <v>67</v>
      </c>
      <c r="B2" s="4" t="s">
        <v>68</v>
      </c>
      <c r="C2" s="4" t="s">
        <v>69</v>
      </c>
    </row>
    <row r="3" spans="1:3" x14ac:dyDescent="0.25">
      <c r="A3" s="3" t="s">
        <v>11</v>
      </c>
      <c r="B3" s="3">
        <v>14</v>
      </c>
      <c r="C3" s="3">
        <f>Table1[[#This Row],[Column2]]/B5</f>
        <v>0.7</v>
      </c>
    </row>
    <row r="4" spans="1:3" x14ac:dyDescent="0.25">
      <c r="A4" s="3" t="s">
        <v>63</v>
      </c>
      <c r="B4" s="3">
        <v>6</v>
      </c>
      <c r="C4" s="3">
        <f>Table1[[#This Row],[Column2]]/B5</f>
        <v>0.3</v>
      </c>
    </row>
    <row r="5" spans="1:3" x14ac:dyDescent="0.25">
      <c r="A5" s="3" t="s">
        <v>70</v>
      </c>
      <c r="B5" s="3">
        <v>20</v>
      </c>
      <c r="C5" s="3">
        <f>SUM(C3:C4)</f>
        <v>1</v>
      </c>
    </row>
    <row r="6" spans="1:3" x14ac:dyDescent="0.25">
      <c r="A6" s="5" t="s">
        <v>71</v>
      </c>
      <c r="B6" s="5"/>
      <c r="C6" s="5">
        <f>-(C3*LOG(C3,2)+C4*LOG(C4,2))</f>
        <v>0.8812908992306927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E359-CE0F-4952-8672-7F9354D915DA}">
  <dimension ref="A1:O21"/>
  <sheetViews>
    <sheetView zoomScale="85" workbookViewId="0">
      <selection activeCell="O7" sqref="O7"/>
    </sheetView>
  </sheetViews>
  <sheetFormatPr defaultRowHeight="15" x14ac:dyDescent="0.25"/>
  <cols>
    <col min="2" max="2" width="11.7109375" customWidth="1"/>
    <col min="3" max="3" width="16.7109375" customWidth="1"/>
    <col min="4" max="4" width="11" customWidth="1"/>
    <col min="6" max="6" width="12.85546875" customWidth="1"/>
    <col min="7" max="7" width="17.140625" customWidth="1"/>
    <col min="8" max="8" width="16.7109375" customWidth="1"/>
    <col min="9" max="9" width="10.85546875" customWidth="1"/>
    <col min="10" max="10" width="16.85546875" customWidth="1"/>
    <col min="11" max="11" width="16" customWidth="1"/>
    <col min="14" max="14" width="18.28515625" customWidth="1"/>
  </cols>
  <sheetData>
    <row r="1" spans="1:15" x14ac:dyDescent="0.25">
      <c r="A1" s="3" t="s">
        <v>72</v>
      </c>
      <c r="B1" s="3" t="s">
        <v>76</v>
      </c>
      <c r="C1" s="3" t="s">
        <v>77</v>
      </c>
      <c r="D1" s="3" t="s">
        <v>73</v>
      </c>
      <c r="E1" s="3" t="s">
        <v>74</v>
      </c>
      <c r="F1" s="3" t="s">
        <v>75</v>
      </c>
      <c r="G1" s="3" t="s">
        <v>79</v>
      </c>
      <c r="H1" s="3" t="s">
        <v>78</v>
      </c>
      <c r="I1" s="3" t="s">
        <v>80</v>
      </c>
      <c r="J1" s="3" t="s">
        <v>81</v>
      </c>
      <c r="K1" s="3" t="s">
        <v>86</v>
      </c>
      <c r="L1" s="3" t="s">
        <v>82</v>
      </c>
      <c r="M1" s="3" t="s">
        <v>83</v>
      </c>
      <c r="N1" s="3" t="s">
        <v>84</v>
      </c>
      <c r="O1" s="3" t="s">
        <v>85</v>
      </c>
    </row>
    <row r="2" spans="1:15" x14ac:dyDescent="0.25">
      <c r="A2" s="3">
        <v>1</v>
      </c>
      <c r="B2" s="3">
        <v>45.2</v>
      </c>
      <c r="C2" s="3">
        <f>B3</f>
        <v>46.8</v>
      </c>
      <c r="D2" s="3">
        <f>(B2+C2)/2</f>
        <v>46</v>
      </c>
      <c r="E2" s="3">
        <f>COUNTIF($B$2:$B$21,"&lt;="&amp;D2)</f>
        <v>1</v>
      </c>
      <c r="F2" s="3">
        <f>COUNTIFS($B$2:$B$21,"&lt;="&amp;D2,$H$2:$H$21,"Layak Jual")</f>
        <v>0</v>
      </c>
      <c r="G2" s="3">
        <f>COUNTIFS($B$2:$B$21,"&lt;="&amp;D2,$H$2:$H$21,"Tidak Layak Jual")</f>
        <v>1</v>
      </c>
      <c r="H2" s="3" t="s">
        <v>63</v>
      </c>
      <c r="I2" s="3">
        <f>14-F2</f>
        <v>14</v>
      </c>
      <c r="J2" s="3">
        <f>6-G2</f>
        <v>5</v>
      </c>
      <c r="K2" s="3">
        <f>20-E2</f>
        <v>19</v>
      </c>
      <c r="L2" s="3">
        <f>IF(E2=0,0,IF(F2=0,0,-F2/E2*LOG(F2/E2,2))+IF(G2=0,0,-G2/E2*LOG(G2/E2,2)))</f>
        <v>0</v>
      </c>
      <c r="M2" s="3">
        <f>IF(K2=0,0,IF(I2=0,0,-I2/K2*LOG(I2/K2,2))+IF(J2=0,0,-J2/K2*LOG(J2/K2,2)))</f>
        <v>0.83147438800972928</v>
      </c>
      <c r="N2" s="3">
        <f>(E2/20)*L2+(K2/20)*M2</f>
        <v>0.7899006686092428</v>
      </c>
      <c r="O2" s="3">
        <f>0.881290899-N2</f>
        <v>9.1390230390757221E-2</v>
      </c>
    </row>
    <row r="3" spans="1:15" x14ac:dyDescent="0.25">
      <c r="A3" s="3">
        <v>2</v>
      </c>
      <c r="B3" s="3">
        <v>46.8</v>
      </c>
      <c r="C3" s="3">
        <f t="shared" ref="C3:C20" si="0">B4</f>
        <v>48</v>
      </c>
      <c r="D3" s="3">
        <f t="shared" ref="D3:D21" si="1">(B3+C3)/2</f>
        <v>47.4</v>
      </c>
      <c r="E3" s="3">
        <f t="shared" ref="E3:E21" si="2">COUNTIF($B$2:$B$21,"&lt;="&amp;D3)</f>
        <v>2</v>
      </c>
      <c r="F3" s="3">
        <f t="shared" ref="F3:F20" si="3">COUNTIFS($B$2:$B$21,"&lt;="&amp;D3,$H$2:$H$21,"Layak Jual")</f>
        <v>0</v>
      </c>
      <c r="G3" s="3">
        <f t="shared" ref="G3:G20" si="4">COUNTIFS($B$2:$B$21,"&lt;="&amp;D3,$H$2:$H$21,"Tidak Layak Jual")</f>
        <v>2</v>
      </c>
      <c r="H3" s="3" t="s">
        <v>63</v>
      </c>
      <c r="I3" s="3">
        <f t="shared" ref="I3:I20" si="5">14-F3</f>
        <v>14</v>
      </c>
      <c r="J3" s="3">
        <f t="shared" ref="J3:J20" si="6">6-G3</f>
        <v>4</v>
      </c>
      <c r="K3" s="3">
        <f t="shared" ref="K3:K20" si="7">20-E3</f>
        <v>18</v>
      </c>
      <c r="L3" s="3">
        <f t="shared" ref="L3:L20" si="8">IF(E3=0,0,IF(F3=0,0,-F3/E3*LOG(F3/E3,2))+IF(G3=0,0,-G3/E3*LOG(G3/E3,2)))</f>
        <v>0</v>
      </c>
      <c r="M3" s="3">
        <f t="shared" ref="M3:M20" si="9">IF(K3=0,0,IF(I3=0,0,-I3/K3*LOG(I3/K3,2))+IF(J3=0,0,-J3/K3*LOG(J3/K3,2)))</f>
        <v>0.76420450650862026</v>
      </c>
      <c r="N3" s="3">
        <f t="shared" ref="N3:N20" si="10">(E3/20)*L3+(K3/20)*M3</f>
        <v>0.68778405585775826</v>
      </c>
      <c r="O3" s="3">
        <f t="shared" ref="O3:O20" si="11">0.881290899-N3</f>
        <v>0.19350684314224176</v>
      </c>
    </row>
    <row r="4" spans="1:15" x14ac:dyDescent="0.25">
      <c r="A4" s="3">
        <v>3</v>
      </c>
      <c r="B4" s="3">
        <v>48</v>
      </c>
      <c r="C4" s="3">
        <f t="shared" si="0"/>
        <v>49.5</v>
      </c>
      <c r="D4" s="3">
        <f t="shared" si="1"/>
        <v>48.75</v>
      </c>
      <c r="E4" s="3">
        <f t="shared" si="2"/>
        <v>3</v>
      </c>
      <c r="F4" s="3">
        <f t="shared" si="3"/>
        <v>0</v>
      </c>
      <c r="G4" s="3">
        <f t="shared" si="4"/>
        <v>3</v>
      </c>
      <c r="H4" s="3" t="s">
        <v>63</v>
      </c>
      <c r="I4" s="3">
        <f t="shared" si="5"/>
        <v>14</v>
      </c>
      <c r="J4" s="3">
        <f t="shared" si="6"/>
        <v>3</v>
      </c>
      <c r="K4" s="3">
        <f t="shared" si="7"/>
        <v>17</v>
      </c>
      <c r="L4" s="3">
        <f t="shared" si="8"/>
        <v>0</v>
      </c>
      <c r="M4" s="3">
        <f t="shared" si="9"/>
        <v>0.67229481707563798</v>
      </c>
      <c r="N4" s="3">
        <f t="shared" si="10"/>
        <v>0.57145059451429225</v>
      </c>
      <c r="O4" s="3">
        <f t="shared" si="11"/>
        <v>0.30984030448570776</v>
      </c>
    </row>
    <row r="5" spans="1:15" x14ac:dyDescent="0.25">
      <c r="A5" s="3">
        <v>4</v>
      </c>
      <c r="B5" s="3">
        <v>49.5</v>
      </c>
      <c r="C5" s="3">
        <f t="shared" si="0"/>
        <v>50.2</v>
      </c>
      <c r="D5" s="3">
        <f t="shared" si="1"/>
        <v>49.85</v>
      </c>
      <c r="E5" s="3">
        <f t="shared" si="2"/>
        <v>4</v>
      </c>
      <c r="F5" s="3">
        <f t="shared" si="3"/>
        <v>0</v>
      </c>
      <c r="G5" s="3">
        <f t="shared" si="4"/>
        <v>4</v>
      </c>
      <c r="H5" s="3" t="s">
        <v>63</v>
      </c>
      <c r="I5" s="3">
        <f t="shared" si="5"/>
        <v>14</v>
      </c>
      <c r="J5" s="3">
        <f t="shared" si="6"/>
        <v>2</v>
      </c>
      <c r="K5" s="3">
        <f t="shared" si="7"/>
        <v>16</v>
      </c>
      <c r="L5" s="3">
        <f t="shared" si="8"/>
        <v>0</v>
      </c>
      <c r="M5" s="3">
        <f t="shared" si="9"/>
        <v>0.5435644431995964</v>
      </c>
      <c r="N5" s="3">
        <f t="shared" si="10"/>
        <v>0.43485155455967717</v>
      </c>
      <c r="O5" s="3">
        <f t="shared" si="11"/>
        <v>0.44643934444032285</v>
      </c>
    </row>
    <row r="6" spans="1:15" x14ac:dyDescent="0.25">
      <c r="A6" s="3">
        <v>5</v>
      </c>
      <c r="B6" s="3">
        <v>50.2</v>
      </c>
      <c r="C6" s="3">
        <f t="shared" si="0"/>
        <v>51</v>
      </c>
      <c r="D6" s="3">
        <f t="shared" si="1"/>
        <v>50.6</v>
      </c>
      <c r="E6" s="3">
        <f t="shared" si="2"/>
        <v>5</v>
      </c>
      <c r="F6" s="3">
        <f t="shared" si="3"/>
        <v>0</v>
      </c>
      <c r="G6" s="3">
        <f t="shared" si="4"/>
        <v>5</v>
      </c>
      <c r="H6" s="3" t="s">
        <v>63</v>
      </c>
      <c r="I6" s="3">
        <f t="shared" si="5"/>
        <v>14</v>
      </c>
      <c r="J6" s="3">
        <f t="shared" si="6"/>
        <v>1</v>
      </c>
      <c r="K6" s="3">
        <f t="shared" si="7"/>
        <v>15</v>
      </c>
      <c r="L6" s="3">
        <f t="shared" si="8"/>
        <v>0</v>
      </c>
      <c r="M6" s="3">
        <f t="shared" si="9"/>
        <v>0.35335933502142136</v>
      </c>
      <c r="N6" s="3">
        <f t="shared" si="10"/>
        <v>0.26501950126606599</v>
      </c>
      <c r="O6" s="3">
        <f t="shared" si="11"/>
        <v>0.61627139773393402</v>
      </c>
    </row>
    <row r="7" spans="1:15" x14ac:dyDescent="0.25">
      <c r="A7" s="3">
        <v>6</v>
      </c>
      <c r="B7" s="3">
        <v>51</v>
      </c>
      <c r="C7" s="3">
        <f t="shared" si="0"/>
        <v>55</v>
      </c>
      <c r="D7" s="3">
        <f t="shared" si="1"/>
        <v>53</v>
      </c>
      <c r="E7" s="3">
        <f>COUNTIF($B$2:$B$21,"&lt;="&amp;D7)</f>
        <v>6</v>
      </c>
      <c r="F7" s="3">
        <f>COUNTIFS($B$2:$B$21,"&lt;="&amp;D7,$H$2:$H$21,"Layak Jual")</f>
        <v>0</v>
      </c>
      <c r="G7" s="3">
        <f>COUNTIFS($B$2:$B$21,"&lt;="&amp;D7,$H$2:$H$21,"Tidak Layak Jual")</f>
        <v>6</v>
      </c>
      <c r="H7" s="3" t="s">
        <v>63</v>
      </c>
      <c r="I7" s="3">
        <f>COUNTIFS($B$2:$B$21,"&gt;"&amp;D7,$H$2:$H$21,"Layak Jual")</f>
        <v>14</v>
      </c>
      <c r="J7" s="3">
        <f>COUNTIFS($B$2:$B$21,"&gt;"&amp;D7,$H$2:$H$21,"Tidak Layak Jual")</f>
        <v>0</v>
      </c>
      <c r="K7" s="3">
        <f>COUNTIF($B$2:$B$21,"&gt;"&amp;D7)</f>
        <v>14</v>
      </c>
      <c r="L7" s="3">
        <f t="shared" si="8"/>
        <v>0</v>
      </c>
      <c r="M7" s="3">
        <f t="shared" si="9"/>
        <v>0</v>
      </c>
      <c r="N7" s="3">
        <f t="shared" si="10"/>
        <v>0</v>
      </c>
      <c r="O7" s="3">
        <f t="shared" si="11"/>
        <v>0.88129089900000002</v>
      </c>
    </row>
    <row r="8" spans="1:15" x14ac:dyDescent="0.25">
      <c r="A8" s="3">
        <v>7</v>
      </c>
      <c r="B8" s="3">
        <v>55</v>
      </c>
      <c r="C8" s="3">
        <f t="shared" si="0"/>
        <v>56</v>
      </c>
      <c r="D8" s="3">
        <f t="shared" si="1"/>
        <v>55.5</v>
      </c>
      <c r="E8" s="3">
        <f t="shared" si="2"/>
        <v>7</v>
      </c>
      <c r="F8" s="3">
        <f t="shared" si="3"/>
        <v>1</v>
      </c>
      <c r="G8" s="3">
        <f t="shared" si="4"/>
        <v>6</v>
      </c>
      <c r="H8" s="3" t="s">
        <v>11</v>
      </c>
      <c r="I8" s="3">
        <f t="shared" si="5"/>
        <v>13</v>
      </c>
      <c r="J8" s="3">
        <f t="shared" si="6"/>
        <v>0</v>
      </c>
      <c r="K8" s="3">
        <f t="shared" si="7"/>
        <v>13</v>
      </c>
      <c r="L8" s="3">
        <f t="shared" si="8"/>
        <v>0.59167277858232747</v>
      </c>
      <c r="M8" s="3">
        <f t="shared" si="9"/>
        <v>0</v>
      </c>
      <c r="N8" s="3">
        <f t="shared" si="10"/>
        <v>0.20708547250381459</v>
      </c>
      <c r="O8" s="3">
        <f t="shared" si="11"/>
        <v>0.67420542649618542</v>
      </c>
    </row>
    <row r="9" spans="1:15" x14ac:dyDescent="0.25">
      <c r="A9" s="3">
        <v>8</v>
      </c>
      <c r="B9" s="3">
        <v>56</v>
      </c>
      <c r="C9" s="3">
        <f t="shared" si="0"/>
        <v>56.2</v>
      </c>
      <c r="D9" s="3">
        <f t="shared" si="1"/>
        <v>56.1</v>
      </c>
      <c r="E9" s="3">
        <f t="shared" si="2"/>
        <v>8</v>
      </c>
      <c r="F9" s="3">
        <f t="shared" si="3"/>
        <v>2</v>
      </c>
      <c r="G9" s="3">
        <f t="shared" si="4"/>
        <v>6</v>
      </c>
      <c r="H9" s="3" t="s">
        <v>11</v>
      </c>
      <c r="I9" s="3">
        <f t="shared" si="5"/>
        <v>12</v>
      </c>
      <c r="J9" s="3">
        <f t="shared" si="6"/>
        <v>0</v>
      </c>
      <c r="K9" s="3">
        <f t="shared" si="7"/>
        <v>12</v>
      </c>
      <c r="L9" s="3">
        <f t="shared" si="8"/>
        <v>0.81127812445913283</v>
      </c>
      <c r="M9" s="3">
        <f t="shared" si="9"/>
        <v>0</v>
      </c>
      <c r="N9" s="3">
        <f t="shared" si="10"/>
        <v>0.32451124978365314</v>
      </c>
      <c r="O9" s="3">
        <f t="shared" si="11"/>
        <v>0.55677964921634682</v>
      </c>
    </row>
    <row r="10" spans="1:15" x14ac:dyDescent="0.25">
      <c r="A10" s="3">
        <v>9</v>
      </c>
      <c r="B10" s="3">
        <v>56.2</v>
      </c>
      <c r="C10" s="3">
        <f t="shared" si="0"/>
        <v>57.5</v>
      </c>
      <c r="D10" s="3">
        <f t="shared" si="1"/>
        <v>56.85</v>
      </c>
      <c r="E10" s="3">
        <f t="shared" si="2"/>
        <v>9</v>
      </c>
      <c r="F10" s="3">
        <f t="shared" si="3"/>
        <v>3</v>
      </c>
      <c r="G10" s="3">
        <f t="shared" si="4"/>
        <v>6</v>
      </c>
      <c r="H10" s="3" t="s">
        <v>11</v>
      </c>
      <c r="I10" s="3">
        <f t="shared" si="5"/>
        <v>11</v>
      </c>
      <c r="J10" s="3">
        <f t="shared" si="6"/>
        <v>0</v>
      </c>
      <c r="K10" s="3">
        <f t="shared" si="7"/>
        <v>11</v>
      </c>
      <c r="L10" s="3">
        <f t="shared" si="8"/>
        <v>0.91829583405448956</v>
      </c>
      <c r="M10" s="3">
        <f t="shared" si="9"/>
        <v>0</v>
      </c>
      <c r="N10" s="3">
        <f t="shared" si="10"/>
        <v>0.41323312532452033</v>
      </c>
      <c r="O10" s="3">
        <f t="shared" si="11"/>
        <v>0.46805777367547968</v>
      </c>
    </row>
    <row r="11" spans="1:15" x14ac:dyDescent="0.25">
      <c r="A11" s="3">
        <v>10</v>
      </c>
      <c r="B11" s="3">
        <v>57.5</v>
      </c>
      <c r="C11" s="3">
        <f t="shared" si="0"/>
        <v>58</v>
      </c>
      <c r="D11" s="3">
        <f t="shared" si="1"/>
        <v>57.75</v>
      </c>
      <c r="E11" s="3">
        <f t="shared" si="2"/>
        <v>10</v>
      </c>
      <c r="F11" s="3">
        <f t="shared" si="3"/>
        <v>4</v>
      </c>
      <c r="G11" s="3">
        <f t="shared" si="4"/>
        <v>6</v>
      </c>
      <c r="H11" s="3" t="s">
        <v>11</v>
      </c>
      <c r="I11" s="3">
        <f t="shared" si="5"/>
        <v>10</v>
      </c>
      <c r="J11" s="3">
        <f t="shared" si="6"/>
        <v>0</v>
      </c>
      <c r="K11" s="3">
        <f t="shared" si="7"/>
        <v>10</v>
      </c>
      <c r="L11" s="3">
        <f t="shared" si="8"/>
        <v>0.97095059445466858</v>
      </c>
      <c r="M11" s="3">
        <f t="shared" si="9"/>
        <v>0</v>
      </c>
      <c r="N11" s="3">
        <f t="shared" si="10"/>
        <v>0.48547529722733429</v>
      </c>
      <c r="O11" s="3">
        <f t="shared" si="11"/>
        <v>0.39581560177266573</v>
      </c>
    </row>
    <row r="12" spans="1:15" x14ac:dyDescent="0.25">
      <c r="A12" s="3">
        <v>11</v>
      </c>
      <c r="B12" s="3">
        <v>58</v>
      </c>
      <c r="C12" s="3">
        <f t="shared" si="0"/>
        <v>58.5</v>
      </c>
      <c r="D12" s="3">
        <f t="shared" si="1"/>
        <v>58.25</v>
      </c>
      <c r="E12" s="3">
        <f t="shared" si="2"/>
        <v>11</v>
      </c>
      <c r="F12" s="3">
        <f t="shared" si="3"/>
        <v>5</v>
      </c>
      <c r="G12" s="3">
        <f t="shared" si="4"/>
        <v>6</v>
      </c>
      <c r="H12" s="3" t="s">
        <v>11</v>
      </c>
      <c r="I12" s="3">
        <f t="shared" si="5"/>
        <v>9</v>
      </c>
      <c r="J12" s="3">
        <f t="shared" si="6"/>
        <v>0</v>
      </c>
      <c r="K12" s="3">
        <f t="shared" si="7"/>
        <v>9</v>
      </c>
      <c r="L12" s="3">
        <f t="shared" si="8"/>
        <v>0.99403021147695647</v>
      </c>
      <c r="M12" s="3">
        <f t="shared" si="9"/>
        <v>0</v>
      </c>
      <c r="N12" s="3">
        <f t="shared" si="10"/>
        <v>0.54671661631232615</v>
      </c>
      <c r="O12" s="3">
        <f t="shared" si="11"/>
        <v>0.33457428268767386</v>
      </c>
    </row>
    <row r="13" spans="1:15" x14ac:dyDescent="0.25">
      <c r="A13" s="3">
        <v>12</v>
      </c>
      <c r="B13" s="3">
        <v>58.5</v>
      </c>
      <c r="C13" s="3">
        <f t="shared" si="0"/>
        <v>59</v>
      </c>
      <c r="D13" s="3">
        <f t="shared" si="1"/>
        <v>58.75</v>
      </c>
      <c r="E13" s="3">
        <f t="shared" si="2"/>
        <v>12</v>
      </c>
      <c r="F13" s="3">
        <f t="shared" si="3"/>
        <v>6</v>
      </c>
      <c r="G13" s="3">
        <f t="shared" si="4"/>
        <v>6</v>
      </c>
      <c r="H13" s="3" t="s">
        <v>11</v>
      </c>
      <c r="I13" s="3">
        <f t="shared" si="5"/>
        <v>8</v>
      </c>
      <c r="J13" s="3">
        <f t="shared" si="6"/>
        <v>0</v>
      </c>
      <c r="K13" s="3">
        <f t="shared" si="7"/>
        <v>8</v>
      </c>
      <c r="L13" s="3">
        <f t="shared" si="8"/>
        <v>1</v>
      </c>
      <c r="M13" s="3">
        <f t="shared" si="9"/>
        <v>0</v>
      </c>
      <c r="N13" s="3">
        <f t="shared" si="10"/>
        <v>0.6</v>
      </c>
      <c r="O13" s="3">
        <f t="shared" si="11"/>
        <v>0.28129089900000004</v>
      </c>
    </row>
    <row r="14" spans="1:15" x14ac:dyDescent="0.25">
      <c r="A14" s="3">
        <v>13</v>
      </c>
      <c r="B14" s="3">
        <v>59</v>
      </c>
      <c r="C14" s="3">
        <f t="shared" si="0"/>
        <v>60</v>
      </c>
      <c r="D14" s="3">
        <f t="shared" si="1"/>
        <v>59.5</v>
      </c>
      <c r="E14" s="3">
        <f t="shared" si="2"/>
        <v>13</v>
      </c>
      <c r="F14" s="3">
        <f t="shared" si="3"/>
        <v>7</v>
      </c>
      <c r="G14" s="3">
        <f t="shared" si="4"/>
        <v>6</v>
      </c>
      <c r="H14" s="3" t="s">
        <v>11</v>
      </c>
      <c r="I14" s="3">
        <f t="shared" si="5"/>
        <v>7</v>
      </c>
      <c r="J14" s="3">
        <f t="shared" si="6"/>
        <v>0</v>
      </c>
      <c r="K14" s="3">
        <f t="shared" si="7"/>
        <v>7</v>
      </c>
      <c r="L14" s="3">
        <f t="shared" si="8"/>
        <v>0.99572745208492563</v>
      </c>
      <c r="M14" s="3">
        <f t="shared" si="9"/>
        <v>0</v>
      </c>
      <c r="N14" s="3">
        <f t="shared" si="10"/>
        <v>0.64722284385520168</v>
      </c>
      <c r="O14" s="3">
        <f t="shared" si="11"/>
        <v>0.23406805514479834</v>
      </c>
    </row>
    <row r="15" spans="1:15" x14ac:dyDescent="0.25">
      <c r="A15" s="3">
        <v>14</v>
      </c>
      <c r="B15" s="3">
        <v>60</v>
      </c>
      <c r="C15" s="3">
        <f t="shared" si="0"/>
        <v>60.2</v>
      </c>
      <c r="D15" s="3">
        <f t="shared" si="1"/>
        <v>60.1</v>
      </c>
      <c r="E15" s="3">
        <f t="shared" si="2"/>
        <v>14</v>
      </c>
      <c r="F15" s="3">
        <f t="shared" si="3"/>
        <v>8</v>
      </c>
      <c r="G15" s="3">
        <f t="shared" si="4"/>
        <v>6</v>
      </c>
      <c r="H15" s="3" t="s">
        <v>11</v>
      </c>
      <c r="I15" s="3">
        <f t="shared" si="5"/>
        <v>6</v>
      </c>
      <c r="J15" s="3">
        <f t="shared" si="6"/>
        <v>0</v>
      </c>
      <c r="K15" s="3">
        <f t="shared" si="7"/>
        <v>6</v>
      </c>
      <c r="L15" s="3">
        <f t="shared" si="8"/>
        <v>0.98522813603425163</v>
      </c>
      <c r="M15" s="3">
        <f t="shared" si="9"/>
        <v>0</v>
      </c>
      <c r="N15" s="3">
        <f t="shared" si="10"/>
        <v>0.68965969522397608</v>
      </c>
      <c r="O15" s="3">
        <f t="shared" si="11"/>
        <v>0.19163120377602394</v>
      </c>
    </row>
    <row r="16" spans="1:15" x14ac:dyDescent="0.25">
      <c r="A16" s="3">
        <v>15</v>
      </c>
      <c r="B16" s="3">
        <v>60.2</v>
      </c>
      <c r="C16" s="3">
        <f t="shared" si="0"/>
        <v>61.5</v>
      </c>
      <c r="D16" s="3">
        <f t="shared" si="1"/>
        <v>60.85</v>
      </c>
      <c r="E16" s="3">
        <f t="shared" si="2"/>
        <v>15</v>
      </c>
      <c r="F16" s="3">
        <f t="shared" si="3"/>
        <v>9</v>
      </c>
      <c r="G16" s="3">
        <f t="shared" si="4"/>
        <v>6</v>
      </c>
      <c r="H16" s="3" t="s">
        <v>11</v>
      </c>
      <c r="I16" s="3">
        <f t="shared" si="5"/>
        <v>5</v>
      </c>
      <c r="J16" s="3">
        <f t="shared" si="6"/>
        <v>0</v>
      </c>
      <c r="K16" s="3">
        <f t="shared" si="7"/>
        <v>5</v>
      </c>
      <c r="L16" s="3">
        <f t="shared" si="8"/>
        <v>0.97095059445466858</v>
      </c>
      <c r="M16" s="3">
        <f t="shared" si="9"/>
        <v>0</v>
      </c>
      <c r="N16" s="3">
        <f t="shared" si="10"/>
        <v>0.72821294584100138</v>
      </c>
      <c r="O16" s="3">
        <f t="shared" si="11"/>
        <v>0.15307795315899864</v>
      </c>
    </row>
    <row r="17" spans="1:15" x14ac:dyDescent="0.25">
      <c r="A17" s="3">
        <v>16</v>
      </c>
      <c r="B17" s="3">
        <v>61.5</v>
      </c>
      <c r="C17" s="3">
        <f t="shared" si="0"/>
        <v>62.5</v>
      </c>
      <c r="D17" s="3">
        <f t="shared" si="1"/>
        <v>62</v>
      </c>
      <c r="E17" s="3">
        <f t="shared" si="2"/>
        <v>16</v>
      </c>
      <c r="F17" s="3">
        <f t="shared" si="3"/>
        <v>10</v>
      </c>
      <c r="G17" s="3">
        <f t="shared" si="4"/>
        <v>6</v>
      </c>
      <c r="H17" s="3" t="s">
        <v>11</v>
      </c>
      <c r="I17" s="3">
        <f t="shared" si="5"/>
        <v>4</v>
      </c>
      <c r="J17" s="3">
        <f t="shared" si="6"/>
        <v>0</v>
      </c>
      <c r="K17" s="3">
        <f t="shared" si="7"/>
        <v>4</v>
      </c>
      <c r="L17" s="3">
        <f t="shared" si="8"/>
        <v>0.95443400292496494</v>
      </c>
      <c r="M17" s="3">
        <f t="shared" si="9"/>
        <v>0</v>
      </c>
      <c r="N17" s="3">
        <f t="shared" si="10"/>
        <v>0.76354720233997198</v>
      </c>
      <c r="O17" s="3">
        <f t="shared" si="11"/>
        <v>0.11774369666002804</v>
      </c>
    </row>
    <row r="18" spans="1:15" x14ac:dyDescent="0.25">
      <c r="A18" s="3">
        <v>17</v>
      </c>
      <c r="B18" s="3">
        <v>62.5</v>
      </c>
      <c r="C18" s="3">
        <f t="shared" si="0"/>
        <v>63.1</v>
      </c>
      <c r="D18" s="3">
        <f t="shared" si="1"/>
        <v>62.8</v>
      </c>
      <c r="E18" s="3">
        <f t="shared" si="2"/>
        <v>17</v>
      </c>
      <c r="F18" s="3">
        <f t="shared" si="3"/>
        <v>11</v>
      </c>
      <c r="G18" s="3">
        <f t="shared" si="4"/>
        <v>6</v>
      </c>
      <c r="H18" s="3" t="s">
        <v>11</v>
      </c>
      <c r="I18" s="3">
        <f t="shared" si="5"/>
        <v>3</v>
      </c>
      <c r="J18" s="3">
        <f t="shared" si="6"/>
        <v>0</v>
      </c>
      <c r="K18" s="3">
        <f t="shared" si="7"/>
        <v>3</v>
      </c>
      <c r="L18" s="3">
        <f t="shared" si="8"/>
        <v>0.9366673818775626</v>
      </c>
      <c r="M18" s="3">
        <f t="shared" si="9"/>
        <v>0</v>
      </c>
      <c r="N18" s="3">
        <f t="shared" si="10"/>
        <v>0.79616727459592818</v>
      </c>
      <c r="O18" s="3">
        <f t="shared" si="11"/>
        <v>8.512362440407184E-2</v>
      </c>
    </row>
    <row r="19" spans="1:15" x14ac:dyDescent="0.25">
      <c r="A19" s="3">
        <v>18</v>
      </c>
      <c r="B19" s="3">
        <v>63.1</v>
      </c>
      <c r="C19" s="3">
        <f t="shared" si="0"/>
        <v>64</v>
      </c>
      <c r="D19" s="3">
        <f t="shared" si="1"/>
        <v>63.55</v>
      </c>
      <c r="E19" s="3">
        <f t="shared" si="2"/>
        <v>18</v>
      </c>
      <c r="F19" s="3">
        <f t="shared" si="3"/>
        <v>12</v>
      </c>
      <c r="G19" s="3">
        <f t="shared" si="4"/>
        <v>6</v>
      </c>
      <c r="H19" s="3" t="s">
        <v>11</v>
      </c>
      <c r="I19" s="3">
        <f t="shared" si="5"/>
        <v>2</v>
      </c>
      <c r="J19" s="3">
        <f t="shared" si="6"/>
        <v>0</v>
      </c>
      <c r="K19" s="3">
        <f t="shared" si="7"/>
        <v>2</v>
      </c>
      <c r="L19" s="3">
        <f t="shared" si="8"/>
        <v>0.91829583405448956</v>
      </c>
      <c r="M19" s="3">
        <f t="shared" si="9"/>
        <v>0</v>
      </c>
      <c r="N19" s="3">
        <f t="shared" si="10"/>
        <v>0.82646625064904067</v>
      </c>
      <c r="O19" s="3">
        <f t="shared" si="11"/>
        <v>5.4824648350959349E-2</v>
      </c>
    </row>
    <row r="20" spans="1:15" x14ac:dyDescent="0.25">
      <c r="A20" s="3">
        <v>19</v>
      </c>
      <c r="B20" s="3">
        <v>64</v>
      </c>
      <c r="C20" s="3">
        <f t="shared" si="0"/>
        <v>65.2</v>
      </c>
      <c r="D20" s="3">
        <f t="shared" si="1"/>
        <v>64.599999999999994</v>
      </c>
      <c r="E20" s="3">
        <f t="shared" si="2"/>
        <v>19</v>
      </c>
      <c r="F20" s="3">
        <f t="shared" si="3"/>
        <v>13</v>
      </c>
      <c r="G20" s="3">
        <f t="shared" si="4"/>
        <v>6</v>
      </c>
      <c r="H20" s="3" t="s">
        <v>11</v>
      </c>
      <c r="I20" s="3">
        <f t="shared" si="5"/>
        <v>1</v>
      </c>
      <c r="J20" s="3">
        <f t="shared" si="6"/>
        <v>0</v>
      </c>
      <c r="K20" s="3">
        <f t="shared" si="7"/>
        <v>1</v>
      </c>
      <c r="L20" s="3">
        <f t="shared" si="8"/>
        <v>0.89974375869826262</v>
      </c>
      <c r="M20" s="3">
        <f t="shared" si="9"/>
        <v>0</v>
      </c>
      <c r="N20" s="3">
        <f t="shared" si="10"/>
        <v>0.85475657076334943</v>
      </c>
      <c r="O20" s="3">
        <f t="shared" si="11"/>
        <v>2.6534328236650584E-2</v>
      </c>
    </row>
    <row r="21" spans="1:15" x14ac:dyDescent="0.25">
      <c r="A21" s="3">
        <v>20</v>
      </c>
      <c r="B21" s="3">
        <v>65.2</v>
      </c>
      <c r="C21" s="3"/>
      <c r="D21" s="3"/>
      <c r="E21" s="3"/>
      <c r="F21" s="3"/>
      <c r="G21" s="3"/>
      <c r="H21" s="3" t="s">
        <v>11</v>
      </c>
      <c r="I21" s="3"/>
      <c r="J21" s="3"/>
      <c r="K21" s="3"/>
      <c r="L21" s="3"/>
      <c r="M21" s="3"/>
      <c r="N21" s="3"/>
      <c r="O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BE3D-287C-4616-8B1E-E7BF72298A05}">
  <dimension ref="A1:O21"/>
  <sheetViews>
    <sheetView zoomScale="91" workbookViewId="0">
      <selection activeCell="O21" sqref="O21"/>
    </sheetView>
  </sheetViews>
  <sheetFormatPr defaultRowHeight="15" x14ac:dyDescent="0.25"/>
  <cols>
    <col min="2" max="2" width="14.7109375" customWidth="1"/>
    <col min="3" max="3" width="16.140625" customWidth="1"/>
    <col min="4" max="4" width="10.42578125" customWidth="1"/>
    <col min="5" max="5" width="11.5703125" customWidth="1"/>
    <col min="6" max="6" width="12.42578125" customWidth="1"/>
    <col min="7" max="7" width="16.42578125" customWidth="1"/>
    <col min="8" max="8" width="15.5703125" customWidth="1"/>
    <col min="9" max="9" width="12.28515625" customWidth="1"/>
    <col min="10" max="10" width="17.5703125" customWidth="1"/>
    <col min="14" max="14" width="18.28515625" customWidth="1"/>
  </cols>
  <sheetData>
    <row r="1" spans="1:15" x14ac:dyDescent="0.25">
      <c r="A1" s="3" t="s">
        <v>72</v>
      </c>
      <c r="B1" s="3" t="s">
        <v>87</v>
      </c>
      <c r="C1" s="3" t="s">
        <v>77</v>
      </c>
      <c r="D1" s="3" t="s">
        <v>73</v>
      </c>
      <c r="E1" s="3" t="s">
        <v>88</v>
      </c>
      <c r="F1" s="3" t="s">
        <v>75</v>
      </c>
      <c r="G1" s="3" t="s">
        <v>79</v>
      </c>
      <c r="H1" s="3" t="s">
        <v>78</v>
      </c>
      <c r="I1" s="3" t="s">
        <v>80</v>
      </c>
      <c r="J1" s="3" t="s">
        <v>81</v>
      </c>
      <c r="K1" s="3" t="s">
        <v>89</v>
      </c>
      <c r="L1" s="3" t="s">
        <v>82</v>
      </c>
      <c r="M1" s="3" t="s">
        <v>83</v>
      </c>
      <c r="N1" s="3" t="s">
        <v>84</v>
      </c>
      <c r="O1" s="3" t="s">
        <v>85</v>
      </c>
    </row>
    <row r="2" spans="1:15" x14ac:dyDescent="0.25">
      <c r="A2" s="3">
        <f>ROW()-1</f>
        <v>1</v>
      </c>
      <c r="B2" s="3">
        <v>3.5</v>
      </c>
      <c r="C2" s="3">
        <f>B3</f>
        <v>3.5</v>
      </c>
      <c r="D2" s="3">
        <f>(B2+C2)/2</f>
        <v>3.5</v>
      </c>
      <c r="E2" s="3">
        <f>COUNTIF($B$2:$B$21,"&lt;="&amp;D2)</f>
        <v>2</v>
      </c>
      <c r="F2" s="3">
        <f>COUNTIFS($B$2:$B$21,"&lt;="&amp;D2,$H$2:$H$21,"Layak Jual")</f>
        <v>0</v>
      </c>
      <c r="G2" s="3">
        <f>COUNTIFS($B$2:$B$21,"&lt;="&amp;D2,$H$2:$H$21,"Tidak Layak Jual")</f>
        <v>2</v>
      </c>
      <c r="H2" s="3" t="s">
        <v>63</v>
      </c>
      <c r="I2" s="3">
        <f>14-F2</f>
        <v>14</v>
      </c>
      <c r="J2" s="3">
        <f>6-G2</f>
        <v>4</v>
      </c>
      <c r="K2" s="3">
        <f>20-E2</f>
        <v>18</v>
      </c>
      <c r="L2" s="3">
        <f>IF(E2=0,0,IF(F2=0,0,-F2/E2*LOG(F2/E2,2))+IF(G2=0,0,-G2/E2*LOG(G2/E2,2)))</f>
        <v>0</v>
      </c>
      <c r="M2" s="3">
        <f>IF(K2=0,0,IF(I2=0,0,-I2/K2*LOG(I2/K2,2))+IF(J2=0,0,-J2/K2*LOG(J2/K2,2)))</f>
        <v>0.76420450650862026</v>
      </c>
      <c r="N2" s="3">
        <f>(E2/20)*L2+(K2/20)*M2</f>
        <v>0.68778405585775826</v>
      </c>
      <c r="O2" s="3">
        <f>0.881290899-N2</f>
        <v>0.19350684314224176</v>
      </c>
    </row>
    <row r="3" spans="1:15" x14ac:dyDescent="0.25">
      <c r="A3" s="3">
        <f t="shared" ref="A3:A21" si="0">ROW()-1</f>
        <v>2</v>
      </c>
      <c r="B3" s="3">
        <v>3.5</v>
      </c>
      <c r="C3" s="3">
        <f t="shared" ref="C3:C20" si="1">B4</f>
        <v>3.6</v>
      </c>
      <c r="D3" s="3">
        <f t="shared" ref="D3:D20" si="2">(B3+C3)/2</f>
        <v>3.55</v>
      </c>
      <c r="E3" s="3">
        <f t="shared" ref="E3:E20" si="3">COUNTIF($B$2:$B$21,"&lt;="&amp;D3)</f>
        <v>2</v>
      </c>
      <c r="F3" s="3">
        <f t="shared" ref="F3:F20" si="4">COUNTIFS($B$2:$B$21,"&lt;="&amp;D3,$H$2:$H$21,"Layak Jual")</f>
        <v>0</v>
      </c>
      <c r="G3" s="3">
        <f t="shared" ref="G3:G20" si="5">COUNTIFS($B$2:$B$21,"&lt;="&amp;D3,$H$2:$H$21,"Tidak Layak Jual")</f>
        <v>2</v>
      </c>
      <c r="H3" s="3" t="s">
        <v>63</v>
      </c>
      <c r="I3" s="3">
        <f t="shared" ref="I3:I20" si="6">14-F3</f>
        <v>14</v>
      </c>
      <c r="J3" s="3">
        <f t="shared" ref="J3:J20" si="7">6-G3</f>
        <v>4</v>
      </c>
      <c r="K3" s="3">
        <f t="shared" ref="K3:K20" si="8">20-E3</f>
        <v>18</v>
      </c>
      <c r="L3" s="3">
        <f t="shared" ref="L3:L20" si="9">IF(E3=0,0,IF(F3=0,0,-F3/E3*LOG(F3/E3,2))+IF(G3=0,0,-G3/E3*LOG(G3/E3,2)))</f>
        <v>0</v>
      </c>
      <c r="M3" s="3">
        <f t="shared" ref="M3:M20" si="10">IF(K3=0,0,IF(I3=0,0,-I3/K3*LOG(I3/K3,2))+IF(J3=0,0,-J3/K3*LOG(J3/K3,2)))</f>
        <v>0.76420450650862026</v>
      </c>
      <c r="N3" s="3">
        <f t="shared" ref="N3:N20" si="11">(E3/20)*L3+(K3/20)*M3</f>
        <v>0.68778405585775826</v>
      </c>
      <c r="O3" s="3">
        <f t="shared" ref="O3:O20" si="12">0.881290899-N3</f>
        <v>0.19350684314224176</v>
      </c>
    </row>
    <row r="4" spans="1:15" x14ac:dyDescent="0.25">
      <c r="A4" s="3">
        <f t="shared" si="0"/>
        <v>3</v>
      </c>
      <c r="B4" s="3">
        <v>3.6</v>
      </c>
      <c r="C4" s="3">
        <f t="shared" si="1"/>
        <v>3.7</v>
      </c>
      <c r="D4" s="3">
        <f t="shared" si="2"/>
        <v>3.6500000000000004</v>
      </c>
      <c r="E4" s="3">
        <f t="shared" si="3"/>
        <v>3</v>
      </c>
      <c r="F4" s="3">
        <f t="shared" si="4"/>
        <v>0</v>
      </c>
      <c r="G4" s="3">
        <f t="shared" si="5"/>
        <v>3</v>
      </c>
      <c r="H4" s="3" t="s">
        <v>63</v>
      </c>
      <c r="I4" s="3">
        <f t="shared" si="6"/>
        <v>14</v>
      </c>
      <c r="J4" s="3">
        <f t="shared" si="7"/>
        <v>3</v>
      </c>
      <c r="K4" s="3">
        <f t="shared" si="8"/>
        <v>17</v>
      </c>
      <c r="L4" s="3">
        <f t="shared" si="9"/>
        <v>0</v>
      </c>
      <c r="M4" s="3">
        <f t="shared" si="10"/>
        <v>0.67229481707563798</v>
      </c>
      <c r="N4" s="3">
        <f t="shared" si="11"/>
        <v>0.57145059451429225</v>
      </c>
      <c r="O4" s="3">
        <f t="shared" si="12"/>
        <v>0.30984030448570776</v>
      </c>
    </row>
    <row r="5" spans="1:15" x14ac:dyDescent="0.25">
      <c r="A5" s="3">
        <f t="shared" si="0"/>
        <v>4</v>
      </c>
      <c r="B5" s="3">
        <v>3.7</v>
      </c>
      <c r="C5" s="3">
        <f t="shared" si="1"/>
        <v>3.7</v>
      </c>
      <c r="D5" s="3">
        <f t="shared" si="2"/>
        <v>3.7</v>
      </c>
      <c r="E5" s="3">
        <f t="shared" si="3"/>
        <v>5</v>
      </c>
      <c r="F5" s="3">
        <f t="shared" si="4"/>
        <v>0</v>
      </c>
      <c r="G5" s="3">
        <f t="shared" si="5"/>
        <v>5</v>
      </c>
      <c r="H5" s="3" t="s">
        <v>63</v>
      </c>
      <c r="I5" s="3">
        <f t="shared" si="6"/>
        <v>14</v>
      </c>
      <c r="J5" s="3">
        <f t="shared" si="7"/>
        <v>1</v>
      </c>
      <c r="K5" s="3">
        <f t="shared" si="8"/>
        <v>15</v>
      </c>
      <c r="L5" s="3">
        <f t="shared" si="9"/>
        <v>0</v>
      </c>
      <c r="M5" s="3">
        <f t="shared" si="10"/>
        <v>0.35335933502142136</v>
      </c>
      <c r="N5" s="3">
        <f t="shared" si="11"/>
        <v>0.26501950126606599</v>
      </c>
      <c r="O5" s="3">
        <f t="shared" si="12"/>
        <v>0.61627139773393402</v>
      </c>
    </row>
    <row r="6" spans="1:15" x14ac:dyDescent="0.25">
      <c r="A6" s="3">
        <f t="shared" si="0"/>
        <v>5</v>
      </c>
      <c r="B6" s="3">
        <v>3.7</v>
      </c>
      <c r="C6" s="3">
        <f t="shared" si="1"/>
        <v>3.8</v>
      </c>
      <c r="D6" s="3">
        <f t="shared" si="2"/>
        <v>3.75</v>
      </c>
      <c r="E6" s="3">
        <f t="shared" si="3"/>
        <v>5</v>
      </c>
      <c r="F6" s="3">
        <f t="shared" si="4"/>
        <v>0</v>
      </c>
      <c r="G6" s="3">
        <f t="shared" si="5"/>
        <v>5</v>
      </c>
      <c r="H6" s="3" t="s">
        <v>63</v>
      </c>
      <c r="I6" s="3">
        <f t="shared" si="6"/>
        <v>14</v>
      </c>
      <c r="J6" s="3">
        <f t="shared" si="7"/>
        <v>1</v>
      </c>
      <c r="K6" s="3">
        <f t="shared" si="8"/>
        <v>15</v>
      </c>
      <c r="L6" s="3">
        <f t="shared" si="9"/>
        <v>0</v>
      </c>
      <c r="M6" s="3">
        <f t="shared" si="10"/>
        <v>0.35335933502142136</v>
      </c>
      <c r="N6" s="3">
        <f t="shared" si="11"/>
        <v>0.26501950126606599</v>
      </c>
      <c r="O6" s="3">
        <f t="shared" si="12"/>
        <v>0.61627139773393402</v>
      </c>
    </row>
    <row r="7" spans="1:15" x14ac:dyDescent="0.25">
      <c r="A7" s="3">
        <f t="shared" si="0"/>
        <v>6</v>
      </c>
      <c r="B7" s="3">
        <v>3.8</v>
      </c>
      <c r="C7" s="3">
        <f t="shared" si="1"/>
        <v>3.8</v>
      </c>
      <c r="D7" s="3">
        <f t="shared" si="2"/>
        <v>3.8</v>
      </c>
      <c r="E7" s="3">
        <f t="shared" si="3"/>
        <v>7</v>
      </c>
      <c r="F7" s="3">
        <f t="shared" si="4"/>
        <v>1</v>
      </c>
      <c r="G7" s="3">
        <f t="shared" si="5"/>
        <v>6</v>
      </c>
      <c r="H7" s="3" t="s">
        <v>11</v>
      </c>
      <c r="I7" s="3">
        <f t="shared" si="6"/>
        <v>13</v>
      </c>
      <c r="J7" s="3">
        <f t="shared" si="7"/>
        <v>0</v>
      </c>
      <c r="K7" s="3">
        <f t="shared" si="8"/>
        <v>13</v>
      </c>
      <c r="L7" s="3">
        <f t="shared" si="9"/>
        <v>0.59167277858232747</v>
      </c>
      <c r="M7" s="3">
        <f t="shared" si="10"/>
        <v>0</v>
      </c>
      <c r="N7" s="3">
        <f t="shared" si="11"/>
        <v>0.20708547250381459</v>
      </c>
      <c r="O7" s="3">
        <f t="shared" si="12"/>
        <v>0.67420542649618542</v>
      </c>
    </row>
    <row r="8" spans="1:15" x14ac:dyDescent="0.25">
      <c r="A8" s="3">
        <f t="shared" si="0"/>
        <v>7</v>
      </c>
      <c r="B8" s="3">
        <v>3.8</v>
      </c>
      <c r="C8" s="3">
        <f t="shared" si="1"/>
        <v>3.9</v>
      </c>
      <c r="D8" s="3">
        <f t="shared" si="2"/>
        <v>3.8499999999999996</v>
      </c>
      <c r="E8" s="3">
        <f t="shared" si="3"/>
        <v>7</v>
      </c>
      <c r="F8" s="3">
        <f t="shared" si="4"/>
        <v>1</v>
      </c>
      <c r="G8" s="3">
        <f t="shared" si="5"/>
        <v>6</v>
      </c>
      <c r="H8" s="3" t="s">
        <v>63</v>
      </c>
      <c r="I8" s="3">
        <f t="shared" si="6"/>
        <v>13</v>
      </c>
      <c r="J8" s="3">
        <f t="shared" si="7"/>
        <v>0</v>
      </c>
      <c r="K8" s="3">
        <f t="shared" si="8"/>
        <v>13</v>
      </c>
      <c r="L8" s="3">
        <f t="shared" si="9"/>
        <v>0.59167277858232747</v>
      </c>
      <c r="M8" s="3">
        <f t="shared" si="10"/>
        <v>0</v>
      </c>
      <c r="N8" s="3">
        <f t="shared" si="11"/>
        <v>0.20708547250381459</v>
      </c>
      <c r="O8" s="3">
        <f t="shared" si="12"/>
        <v>0.67420542649618542</v>
      </c>
    </row>
    <row r="9" spans="1:15" x14ac:dyDescent="0.25">
      <c r="A9" s="3">
        <f t="shared" si="0"/>
        <v>8</v>
      </c>
      <c r="B9" s="3">
        <v>3.9</v>
      </c>
      <c r="C9" s="3">
        <f t="shared" si="1"/>
        <v>3.9</v>
      </c>
      <c r="D9" s="3">
        <f t="shared" si="2"/>
        <v>3.9</v>
      </c>
      <c r="E9" s="3">
        <f t="shared" si="3"/>
        <v>9</v>
      </c>
      <c r="F9" s="3">
        <f t="shared" si="4"/>
        <v>3</v>
      </c>
      <c r="G9" s="3">
        <f t="shared" si="5"/>
        <v>6</v>
      </c>
      <c r="H9" s="3" t="s">
        <v>11</v>
      </c>
      <c r="I9" s="3">
        <f t="shared" si="6"/>
        <v>11</v>
      </c>
      <c r="J9" s="3">
        <f t="shared" si="7"/>
        <v>0</v>
      </c>
      <c r="K9" s="3">
        <f t="shared" si="8"/>
        <v>11</v>
      </c>
      <c r="L9" s="3">
        <f t="shared" si="9"/>
        <v>0.91829583405448956</v>
      </c>
      <c r="M9" s="3">
        <f t="shared" si="10"/>
        <v>0</v>
      </c>
      <c r="N9" s="3">
        <f t="shared" si="11"/>
        <v>0.41323312532452033</v>
      </c>
      <c r="O9" s="3">
        <f t="shared" si="12"/>
        <v>0.46805777367547968</v>
      </c>
    </row>
    <row r="10" spans="1:15" x14ac:dyDescent="0.25">
      <c r="A10" s="3">
        <f t="shared" si="0"/>
        <v>9</v>
      </c>
      <c r="B10" s="3">
        <v>3.9</v>
      </c>
      <c r="C10" s="3">
        <f t="shared" si="1"/>
        <v>4</v>
      </c>
      <c r="D10" s="3">
        <f t="shared" si="2"/>
        <v>3.95</v>
      </c>
      <c r="E10" s="3">
        <f t="shared" si="3"/>
        <v>9</v>
      </c>
      <c r="F10" s="3">
        <f t="shared" si="4"/>
        <v>3</v>
      </c>
      <c r="G10" s="3">
        <f t="shared" si="5"/>
        <v>6</v>
      </c>
      <c r="H10" s="3" t="s">
        <v>11</v>
      </c>
      <c r="I10" s="3">
        <f t="shared" si="6"/>
        <v>11</v>
      </c>
      <c r="J10" s="3">
        <f t="shared" si="7"/>
        <v>0</v>
      </c>
      <c r="K10" s="3">
        <f t="shared" si="8"/>
        <v>11</v>
      </c>
      <c r="L10" s="3">
        <f t="shared" si="9"/>
        <v>0.91829583405448956</v>
      </c>
      <c r="M10" s="3">
        <f t="shared" si="10"/>
        <v>0</v>
      </c>
      <c r="N10" s="3">
        <f t="shared" si="11"/>
        <v>0.41323312532452033</v>
      </c>
      <c r="O10" s="3">
        <f t="shared" si="12"/>
        <v>0.46805777367547968</v>
      </c>
    </row>
    <row r="11" spans="1:15" x14ac:dyDescent="0.25">
      <c r="A11" s="3">
        <f t="shared" si="0"/>
        <v>10</v>
      </c>
      <c r="B11" s="3">
        <v>4</v>
      </c>
      <c r="C11" s="3">
        <f t="shared" si="1"/>
        <v>4</v>
      </c>
      <c r="D11" s="3">
        <f t="shared" si="2"/>
        <v>4</v>
      </c>
      <c r="E11" s="3">
        <f t="shared" si="3"/>
        <v>11</v>
      </c>
      <c r="F11" s="3">
        <f t="shared" si="4"/>
        <v>5</v>
      </c>
      <c r="G11" s="3">
        <f t="shared" si="5"/>
        <v>6</v>
      </c>
      <c r="H11" s="3" t="s">
        <v>11</v>
      </c>
      <c r="I11" s="3">
        <f t="shared" si="6"/>
        <v>9</v>
      </c>
      <c r="J11" s="3">
        <f t="shared" si="7"/>
        <v>0</v>
      </c>
      <c r="K11" s="3">
        <f t="shared" si="8"/>
        <v>9</v>
      </c>
      <c r="L11" s="3">
        <f t="shared" si="9"/>
        <v>0.99403021147695647</v>
      </c>
      <c r="M11" s="3">
        <f t="shared" si="10"/>
        <v>0</v>
      </c>
      <c r="N11" s="3">
        <f t="shared" si="11"/>
        <v>0.54671661631232615</v>
      </c>
      <c r="O11" s="3">
        <f t="shared" si="12"/>
        <v>0.33457428268767386</v>
      </c>
    </row>
    <row r="12" spans="1:15" x14ac:dyDescent="0.25">
      <c r="A12" s="3">
        <f t="shared" si="0"/>
        <v>11</v>
      </c>
      <c r="B12" s="3">
        <v>4</v>
      </c>
      <c r="C12" s="3">
        <f t="shared" si="1"/>
        <v>4.0999999999999996</v>
      </c>
      <c r="D12" s="3">
        <f t="shared" si="2"/>
        <v>4.05</v>
      </c>
      <c r="E12" s="3">
        <f t="shared" si="3"/>
        <v>11</v>
      </c>
      <c r="F12" s="3">
        <f t="shared" si="4"/>
        <v>5</v>
      </c>
      <c r="G12" s="3">
        <f t="shared" si="5"/>
        <v>6</v>
      </c>
      <c r="H12" s="3" t="s">
        <v>11</v>
      </c>
      <c r="I12" s="3">
        <f t="shared" si="6"/>
        <v>9</v>
      </c>
      <c r="J12" s="3">
        <f t="shared" si="7"/>
        <v>0</v>
      </c>
      <c r="K12" s="3">
        <f t="shared" si="8"/>
        <v>9</v>
      </c>
      <c r="L12" s="3">
        <f t="shared" si="9"/>
        <v>0.99403021147695647</v>
      </c>
      <c r="M12" s="3">
        <f t="shared" si="10"/>
        <v>0</v>
      </c>
      <c r="N12" s="3">
        <f t="shared" si="11"/>
        <v>0.54671661631232615</v>
      </c>
      <c r="O12" s="3">
        <f t="shared" si="12"/>
        <v>0.33457428268767386</v>
      </c>
    </row>
    <row r="13" spans="1:15" x14ac:dyDescent="0.25">
      <c r="A13" s="3">
        <f t="shared" si="0"/>
        <v>12</v>
      </c>
      <c r="B13" s="3">
        <v>4.0999999999999996</v>
      </c>
      <c r="C13" s="3">
        <f t="shared" si="1"/>
        <v>4.0999999999999996</v>
      </c>
      <c r="D13" s="3">
        <f t="shared" si="2"/>
        <v>4.0999999999999996</v>
      </c>
      <c r="E13" s="3">
        <f t="shared" si="3"/>
        <v>13</v>
      </c>
      <c r="F13" s="3">
        <f t="shared" si="4"/>
        <v>7</v>
      </c>
      <c r="G13" s="3">
        <f t="shared" si="5"/>
        <v>6</v>
      </c>
      <c r="H13" s="3" t="s">
        <v>11</v>
      </c>
      <c r="I13" s="3">
        <f t="shared" si="6"/>
        <v>7</v>
      </c>
      <c r="J13" s="3">
        <f t="shared" si="7"/>
        <v>0</v>
      </c>
      <c r="K13" s="3">
        <f t="shared" si="8"/>
        <v>7</v>
      </c>
      <c r="L13" s="3">
        <f t="shared" si="9"/>
        <v>0.99572745208492563</v>
      </c>
      <c r="M13" s="3">
        <f t="shared" si="10"/>
        <v>0</v>
      </c>
      <c r="N13" s="3">
        <f t="shared" si="11"/>
        <v>0.64722284385520168</v>
      </c>
      <c r="O13" s="3">
        <f t="shared" si="12"/>
        <v>0.23406805514479834</v>
      </c>
    </row>
    <row r="14" spans="1:15" x14ac:dyDescent="0.25">
      <c r="A14" s="3">
        <f t="shared" si="0"/>
        <v>13</v>
      </c>
      <c r="B14" s="3">
        <v>4.0999999999999996</v>
      </c>
      <c r="C14" s="3">
        <f t="shared" si="1"/>
        <v>4.2</v>
      </c>
      <c r="D14" s="3">
        <f t="shared" si="2"/>
        <v>4.1500000000000004</v>
      </c>
      <c r="E14" s="3">
        <f t="shared" si="3"/>
        <v>13</v>
      </c>
      <c r="F14" s="3">
        <f t="shared" si="4"/>
        <v>7</v>
      </c>
      <c r="G14" s="3">
        <f t="shared" si="5"/>
        <v>6</v>
      </c>
      <c r="H14" s="3" t="s">
        <v>11</v>
      </c>
      <c r="I14" s="3">
        <f t="shared" si="6"/>
        <v>7</v>
      </c>
      <c r="J14" s="3">
        <f t="shared" si="7"/>
        <v>0</v>
      </c>
      <c r="K14" s="3">
        <f t="shared" si="8"/>
        <v>7</v>
      </c>
      <c r="L14" s="3">
        <f t="shared" si="9"/>
        <v>0.99572745208492563</v>
      </c>
      <c r="M14" s="3">
        <f t="shared" si="10"/>
        <v>0</v>
      </c>
      <c r="N14" s="3">
        <f t="shared" si="11"/>
        <v>0.64722284385520168</v>
      </c>
      <c r="O14" s="3">
        <f t="shared" si="12"/>
        <v>0.23406805514479834</v>
      </c>
    </row>
    <row r="15" spans="1:15" x14ac:dyDescent="0.25">
      <c r="A15" s="3">
        <f t="shared" si="0"/>
        <v>14</v>
      </c>
      <c r="B15" s="3">
        <v>4.2</v>
      </c>
      <c r="C15" s="3">
        <f t="shared" si="1"/>
        <v>4.2</v>
      </c>
      <c r="D15" s="3">
        <f t="shared" si="2"/>
        <v>4.2</v>
      </c>
      <c r="E15" s="3">
        <f t="shared" si="3"/>
        <v>15</v>
      </c>
      <c r="F15" s="3">
        <f t="shared" si="4"/>
        <v>9</v>
      </c>
      <c r="G15" s="3">
        <f t="shared" si="5"/>
        <v>6</v>
      </c>
      <c r="H15" s="3" t="s">
        <v>11</v>
      </c>
      <c r="I15" s="3">
        <f t="shared" si="6"/>
        <v>5</v>
      </c>
      <c r="J15" s="3">
        <f t="shared" si="7"/>
        <v>0</v>
      </c>
      <c r="K15" s="3">
        <f t="shared" si="8"/>
        <v>5</v>
      </c>
      <c r="L15" s="3">
        <f t="shared" si="9"/>
        <v>0.97095059445466858</v>
      </c>
      <c r="M15" s="3">
        <f t="shared" si="10"/>
        <v>0</v>
      </c>
      <c r="N15" s="3">
        <f t="shared" si="11"/>
        <v>0.72821294584100138</v>
      </c>
      <c r="O15" s="3">
        <f t="shared" si="12"/>
        <v>0.15307795315899864</v>
      </c>
    </row>
    <row r="16" spans="1:15" x14ac:dyDescent="0.25">
      <c r="A16" s="3">
        <f t="shared" si="0"/>
        <v>15</v>
      </c>
      <c r="B16" s="3">
        <v>4.2</v>
      </c>
      <c r="C16" s="3">
        <f t="shared" si="1"/>
        <v>4.3</v>
      </c>
      <c r="D16" s="3">
        <f t="shared" si="2"/>
        <v>4.25</v>
      </c>
      <c r="E16" s="3">
        <f t="shared" si="3"/>
        <v>15</v>
      </c>
      <c r="F16" s="3">
        <f t="shared" si="4"/>
        <v>9</v>
      </c>
      <c r="G16" s="3">
        <f t="shared" si="5"/>
        <v>6</v>
      </c>
      <c r="H16" s="3" t="s">
        <v>11</v>
      </c>
      <c r="I16" s="3">
        <f t="shared" si="6"/>
        <v>5</v>
      </c>
      <c r="J16" s="3">
        <f t="shared" si="7"/>
        <v>0</v>
      </c>
      <c r="K16" s="3">
        <f t="shared" si="8"/>
        <v>5</v>
      </c>
      <c r="L16" s="3">
        <f t="shared" si="9"/>
        <v>0.97095059445466858</v>
      </c>
      <c r="M16" s="3">
        <f t="shared" si="10"/>
        <v>0</v>
      </c>
      <c r="N16" s="3">
        <f t="shared" si="11"/>
        <v>0.72821294584100138</v>
      </c>
      <c r="O16" s="3">
        <f t="shared" si="12"/>
        <v>0.15307795315899864</v>
      </c>
    </row>
    <row r="17" spans="1:15" x14ac:dyDescent="0.25">
      <c r="A17" s="3">
        <f t="shared" si="0"/>
        <v>16</v>
      </c>
      <c r="B17" s="3">
        <v>4.3</v>
      </c>
      <c r="C17" s="3">
        <f t="shared" si="1"/>
        <v>4.3</v>
      </c>
      <c r="D17" s="3">
        <f t="shared" si="2"/>
        <v>4.3</v>
      </c>
      <c r="E17" s="3">
        <f t="shared" si="3"/>
        <v>17</v>
      </c>
      <c r="F17" s="3">
        <f t="shared" si="4"/>
        <v>11</v>
      </c>
      <c r="G17" s="3">
        <f t="shared" si="5"/>
        <v>6</v>
      </c>
      <c r="H17" s="3" t="s">
        <v>11</v>
      </c>
      <c r="I17" s="3">
        <f t="shared" si="6"/>
        <v>3</v>
      </c>
      <c r="J17" s="3">
        <f t="shared" si="7"/>
        <v>0</v>
      </c>
      <c r="K17" s="3">
        <f t="shared" si="8"/>
        <v>3</v>
      </c>
      <c r="L17" s="3">
        <f t="shared" si="9"/>
        <v>0.9366673818775626</v>
      </c>
      <c r="M17" s="3">
        <f t="shared" si="10"/>
        <v>0</v>
      </c>
      <c r="N17" s="3">
        <f t="shared" si="11"/>
        <v>0.79616727459592818</v>
      </c>
      <c r="O17" s="3">
        <f t="shared" si="12"/>
        <v>8.512362440407184E-2</v>
      </c>
    </row>
    <row r="18" spans="1:15" x14ac:dyDescent="0.25">
      <c r="A18" s="3">
        <f t="shared" si="0"/>
        <v>17</v>
      </c>
      <c r="B18" s="3">
        <v>4.3</v>
      </c>
      <c r="C18" s="3">
        <f t="shared" si="1"/>
        <v>4.4000000000000004</v>
      </c>
      <c r="D18" s="3">
        <f t="shared" si="2"/>
        <v>4.3499999999999996</v>
      </c>
      <c r="E18" s="3">
        <f t="shared" si="3"/>
        <v>17</v>
      </c>
      <c r="F18" s="3">
        <f t="shared" si="4"/>
        <v>11</v>
      </c>
      <c r="G18" s="3">
        <f t="shared" si="5"/>
        <v>6</v>
      </c>
      <c r="H18" s="3" t="s">
        <v>11</v>
      </c>
      <c r="I18" s="3">
        <f t="shared" si="6"/>
        <v>3</v>
      </c>
      <c r="J18" s="3">
        <f t="shared" si="7"/>
        <v>0</v>
      </c>
      <c r="K18" s="3">
        <f t="shared" si="8"/>
        <v>3</v>
      </c>
      <c r="L18" s="3">
        <f t="shared" si="9"/>
        <v>0.9366673818775626</v>
      </c>
      <c r="M18" s="3">
        <f t="shared" si="10"/>
        <v>0</v>
      </c>
      <c r="N18" s="3">
        <f t="shared" si="11"/>
        <v>0.79616727459592818</v>
      </c>
      <c r="O18" s="3">
        <f t="shared" si="12"/>
        <v>8.512362440407184E-2</v>
      </c>
    </row>
    <row r="19" spans="1:15" x14ac:dyDescent="0.25">
      <c r="A19" s="3">
        <f t="shared" si="0"/>
        <v>18</v>
      </c>
      <c r="B19" s="3">
        <v>4.4000000000000004</v>
      </c>
      <c r="C19" s="3">
        <f t="shared" si="1"/>
        <v>4.5</v>
      </c>
      <c r="D19" s="3">
        <f t="shared" si="2"/>
        <v>4.45</v>
      </c>
      <c r="E19" s="3">
        <f t="shared" si="3"/>
        <v>18</v>
      </c>
      <c r="F19" s="3">
        <f t="shared" si="4"/>
        <v>12</v>
      </c>
      <c r="G19" s="3">
        <f t="shared" si="5"/>
        <v>6</v>
      </c>
      <c r="H19" s="3" t="s">
        <v>11</v>
      </c>
      <c r="I19" s="3">
        <f t="shared" si="6"/>
        <v>2</v>
      </c>
      <c r="J19" s="3">
        <f t="shared" si="7"/>
        <v>0</v>
      </c>
      <c r="K19" s="3">
        <f t="shared" si="8"/>
        <v>2</v>
      </c>
      <c r="L19" s="3">
        <f t="shared" si="9"/>
        <v>0.91829583405448956</v>
      </c>
      <c r="M19" s="3">
        <f t="shared" si="10"/>
        <v>0</v>
      </c>
      <c r="N19" s="3">
        <f t="shared" si="11"/>
        <v>0.82646625064904067</v>
      </c>
      <c r="O19" s="3">
        <f t="shared" si="12"/>
        <v>5.4824648350959349E-2</v>
      </c>
    </row>
    <row r="20" spans="1:15" x14ac:dyDescent="0.25">
      <c r="A20" s="3">
        <f t="shared" si="0"/>
        <v>19</v>
      </c>
      <c r="B20" s="3">
        <v>4.5</v>
      </c>
      <c r="C20" s="3">
        <f t="shared" si="1"/>
        <v>4.5999999999999996</v>
      </c>
      <c r="D20" s="3">
        <f t="shared" si="2"/>
        <v>4.55</v>
      </c>
      <c r="E20" s="3">
        <f t="shared" si="3"/>
        <v>19</v>
      </c>
      <c r="F20" s="3">
        <f t="shared" si="4"/>
        <v>13</v>
      </c>
      <c r="G20" s="3">
        <f t="shared" si="5"/>
        <v>6</v>
      </c>
      <c r="H20" s="3" t="s">
        <v>11</v>
      </c>
      <c r="I20" s="3">
        <f t="shared" si="6"/>
        <v>1</v>
      </c>
      <c r="J20" s="3">
        <f t="shared" si="7"/>
        <v>0</v>
      </c>
      <c r="K20" s="3">
        <f t="shared" si="8"/>
        <v>1</v>
      </c>
      <c r="L20" s="3">
        <f t="shared" si="9"/>
        <v>0.89974375869826262</v>
      </c>
      <c r="M20" s="3">
        <f t="shared" si="10"/>
        <v>0</v>
      </c>
      <c r="N20" s="3">
        <f t="shared" si="11"/>
        <v>0.85475657076334943</v>
      </c>
      <c r="O20" s="3">
        <f t="shared" si="12"/>
        <v>2.6534328236650584E-2</v>
      </c>
    </row>
    <row r="21" spans="1:15" x14ac:dyDescent="0.25">
      <c r="A21" s="3">
        <f t="shared" si="0"/>
        <v>20</v>
      </c>
      <c r="B21" s="3">
        <v>4.5999999999999996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6DBB-2ECB-4BF7-80CB-47D9ED2F91BD}">
  <dimension ref="A1:E8"/>
  <sheetViews>
    <sheetView topLeftCell="A6" workbookViewId="0">
      <selection activeCell="B9" sqref="B9"/>
    </sheetView>
  </sheetViews>
  <sheetFormatPr defaultRowHeight="15" x14ac:dyDescent="0.25"/>
  <cols>
    <col min="1" max="1" width="20.85546875" customWidth="1"/>
    <col min="2" max="2" width="11.42578125" customWidth="1"/>
    <col min="3" max="3" width="11" customWidth="1"/>
    <col min="4" max="4" width="16.42578125" customWidth="1"/>
    <col min="5" max="5" width="15.28515625" customWidth="1"/>
    <col min="6" max="6" width="15" customWidth="1"/>
    <col min="7" max="7" width="20.28515625" customWidth="1"/>
    <col min="8" max="8" width="13.28515625" customWidth="1"/>
  </cols>
  <sheetData>
    <row r="1" spans="1:5" x14ac:dyDescent="0.25">
      <c r="A1" s="8" t="s">
        <v>92</v>
      </c>
      <c r="B1" s="8" t="s">
        <v>70</v>
      </c>
      <c r="C1" s="8" t="s">
        <v>11</v>
      </c>
      <c r="D1" s="8" t="s">
        <v>63</v>
      </c>
      <c r="E1" s="8" t="s">
        <v>118</v>
      </c>
    </row>
    <row r="2" spans="1:5" x14ac:dyDescent="0.25">
      <c r="A2" s="3" t="s">
        <v>9</v>
      </c>
      <c r="B2" s="3">
        <f>COUNTIF(Dataset!$D$2:$D$21,A2)</f>
        <v>12</v>
      </c>
      <c r="C2" s="3">
        <f>COUNTIFS(Dataset!$D$2:$D$21,A2,Dataset!$F$2:$F$21,"Layak Jual")</f>
        <v>11</v>
      </c>
      <c r="D2" s="3">
        <f>COUNTIFS(Dataset!$D$2:$D$21,A2,Dataset!$F$2:$F$21,"Tidak Layak Jual")</f>
        <v>1</v>
      </c>
      <c r="E2" s="3">
        <f>-(IF(C2=0,0,C2/B2*LOG(C2/B2,2))+IF(D2=0,0,D2/B2*LOG(D2/B2,2)))</f>
        <v>0.41381685030363374</v>
      </c>
    </row>
    <row r="3" spans="1:5" x14ac:dyDescent="0.25">
      <c r="A3" s="3" t="s">
        <v>46</v>
      </c>
      <c r="B3" s="3">
        <f>COUNTIF(Dataset!$D$2:$D$21,A3)</f>
        <v>8</v>
      </c>
      <c r="C3" s="3">
        <f>COUNTIFS(Dataset!$D$2:$D$21,A3,Dataset!$F$2:$F$21,"Layak Jual")</f>
        <v>3</v>
      </c>
      <c r="D3" s="3">
        <f>COUNTIFS(Dataset!$D$2:$D$21,A3,Dataset!$F$2:$F$21,"Tidak Layak Jual")</f>
        <v>5</v>
      </c>
      <c r="E3" s="3">
        <f t="shared" ref="E3" si="0">-(IF(C3=0,0,C3/B3*LOG(C3/B3,2))+IF(D3=0,0,D3/B3*LOG(D3/B3,2)))</f>
        <v>0.95443400292496494</v>
      </c>
    </row>
    <row r="4" spans="1:5" x14ac:dyDescent="0.25">
      <c r="A4" s="3" t="s">
        <v>91</v>
      </c>
      <c r="B4" s="3">
        <f>SUM(B2:B3)</f>
        <v>20</v>
      </c>
      <c r="C4" s="3">
        <f>SUM(C2:C3)</f>
        <v>14</v>
      </c>
      <c r="D4" s="3">
        <f>SUM(D2:D3)</f>
        <v>6</v>
      </c>
      <c r="E4" s="3"/>
    </row>
    <row r="5" spans="1:5" x14ac:dyDescent="0.25">
      <c r="E5" s="6"/>
    </row>
    <row r="6" spans="1:5" x14ac:dyDescent="0.25">
      <c r="A6" s="7" t="s">
        <v>119</v>
      </c>
      <c r="B6" s="7" t="s">
        <v>116</v>
      </c>
    </row>
    <row r="7" spans="1:5" x14ac:dyDescent="0.25">
      <c r="A7" s="3" t="s">
        <v>120</v>
      </c>
      <c r="B7" s="3">
        <f>(B2/$B$4)*E2+(B3/$B$4)*E3</f>
        <v>0.63006371135216621</v>
      </c>
    </row>
    <row r="8" spans="1:5" x14ac:dyDescent="0.25">
      <c r="A8" s="3" t="s">
        <v>121</v>
      </c>
      <c r="B8" s="3">
        <f>0.881290899-B7</f>
        <v>0.25122718764783381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AEA0-688D-4BF0-BD9B-F1B2C04F6FBF}">
  <dimension ref="A1:H4"/>
  <sheetViews>
    <sheetView tabSelected="1" workbookViewId="0">
      <selection activeCell="H4" sqref="H4"/>
    </sheetView>
  </sheetViews>
  <sheetFormatPr defaultRowHeight="15" x14ac:dyDescent="0.25"/>
  <cols>
    <col min="1" max="1" width="15.140625" bestFit="1" customWidth="1"/>
    <col min="4" max="4" width="14.42578125" customWidth="1"/>
    <col min="7" max="7" width="18.85546875" customWidth="1"/>
    <col min="8" max="8" width="12.7109375" bestFit="1" customWidth="1"/>
  </cols>
  <sheetData>
    <row r="1" spans="1:8" x14ac:dyDescent="0.25">
      <c r="A1" s="8" t="s">
        <v>93</v>
      </c>
      <c r="B1" s="8" t="s">
        <v>70</v>
      </c>
      <c r="C1" s="8" t="s">
        <v>11</v>
      </c>
      <c r="D1" s="8" t="s">
        <v>63</v>
      </c>
      <c r="E1" s="8" t="s">
        <v>90</v>
      </c>
      <c r="F1" s="8" t="s">
        <v>71</v>
      </c>
      <c r="G1" s="8" t="s">
        <v>94</v>
      </c>
      <c r="H1" s="8" t="s">
        <v>85</v>
      </c>
    </row>
    <row r="2" spans="1:8" x14ac:dyDescent="0.25">
      <c r="A2" s="3" t="s">
        <v>10</v>
      </c>
      <c r="B2" s="3">
        <v>10</v>
      </c>
      <c r="C2" s="3">
        <v>10</v>
      </c>
      <c r="D2" s="3">
        <v>0</v>
      </c>
      <c r="E2" s="3">
        <f>B2/$B$4</f>
        <v>0.5</v>
      </c>
      <c r="F2" s="3">
        <f>-(C2/B2)*LOG(C2/B2,2)-IF(D2=0,0,(D2/B2)*LOG(D2/B2,2))</f>
        <v>0</v>
      </c>
      <c r="G2" s="3">
        <f>E2*F2</f>
        <v>0</v>
      </c>
      <c r="H2" s="3"/>
    </row>
    <row r="3" spans="1:8" x14ac:dyDescent="0.25">
      <c r="A3" s="3" t="s">
        <v>21</v>
      </c>
      <c r="B3" s="3">
        <v>10</v>
      </c>
      <c r="C3" s="3">
        <v>4</v>
      </c>
      <c r="D3" s="3">
        <v>6</v>
      </c>
      <c r="E3" s="3">
        <f t="shared" ref="E3:E4" si="0">B3/$B$4</f>
        <v>0.5</v>
      </c>
      <c r="F3" s="3">
        <f t="shared" ref="F3:F4" si="1">-(C3/B3)*LOG(C3/B3,2)-IF(D3=0,0,(D3/B3)*LOG(D3/B3,2))</f>
        <v>0.97095059445466858</v>
      </c>
      <c r="G3" s="3">
        <f t="shared" ref="G3" si="2">E3*F3</f>
        <v>0.48547529722733429</v>
      </c>
      <c r="H3" s="3"/>
    </row>
    <row r="4" spans="1:8" x14ac:dyDescent="0.25">
      <c r="A4" s="3" t="s">
        <v>91</v>
      </c>
      <c r="B4" s="3">
        <v>20</v>
      </c>
      <c r="C4" s="3">
        <v>14</v>
      </c>
      <c r="D4" s="3">
        <v>6</v>
      </c>
      <c r="E4" s="3">
        <f t="shared" si="0"/>
        <v>1</v>
      </c>
      <c r="F4" s="3">
        <f t="shared" si="1"/>
        <v>0.8812908992306927</v>
      </c>
      <c r="G4" s="3">
        <f>SUM(G2:G3)</f>
        <v>0.48547529722733429</v>
      </c>
      <c r="H4" s="3">
        <f>F4-G4</f>
        <v>0.39581560200335841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4CF7-E457-4F99-8156-45AD9A0D74D2}">
  <dimension ref="A1:C8"/>
  <sheetViews>
    <sheetView workbookViewId="0">
      <selection activeCell="D12" sqref="D12"/>
    </sheetView>
  </sheetViews>
  <sheetFormatPr defaultRowHeight="15" x14ac:dyDescent="0.25"/>
  <cols>
    <col min="1" max="1" width="16.28515625" customWidth="1"/>
    <col min="2" max="2" width="15.5703125" customWidth="1"/>
    <col min="3" max="3" width="25.5703125" customWidth="1"/>
  </cols>
  <sheetData>
    <row r="1" spans="1:3" ht="15.75" x14ac:dyDescent="0.25">
      <c r="A1" s="11" t="s">
        <v>95</v>
      </c>
      <c r="B1" s="11" t="s">
        <v>96</v>
      </c>
      <c r="C1" s="11" t="s">
        <v>97</v>
      </c>
    </row>
    <row r="2" spans="1:3" ht="15.75" x14ac:dyDescent="0.25">
      <c r="A2" s="12" t="s">
        <v>98</v>
      </c>
      <c r="B2" s="13">
        <v>0.88129100000000005</v>
      </c>
      <c r="C2" s="13" t="s">
        <v>100</v>
      </c>
    </row>
    <row r="3" spans="1:3" ht="15.75" x14ac:dyDescent="0.25">
      <c r="A3" s="12" t="s">
        <v>99</v>
      </c>
      <c r="B3" s="13">
        <v>0.67420500000000005</v>
      </c>
      <c r="C3" s="13" t="s">
        <v>101</v>
      </c>
    </row>
    <row r="4" spans="1:3" ht="15.75" x14ac:dyDescent="0.25">
      <c r="A4" s="12" t="s">
        <v>3</v>
      </c>
      <c r="B4" s="13">
        <v>0.32489000000000001</v>
      </c>
      <c r="C4" s="13"/>
    </row>
    <row r="5" spans="1:3" ht="15.75" x14ac:dyDescent="0.25">
      <c r="A5" s="12" t="s">
        <v>4</v>
      </c>
      <c r="B5" s="13">
        <v>0.395816</v>
      </c>
      <c r="C5" s="13"/>
    </row>
    <row r="6" spans="1:3" ht="15.75" x14ac:dyDescent="0.25">
      <c r="A6" s="14"/>
      <c r="B6" s="14"/>
      <c r="C6" s="14"/>
    </row>
    <row r="7" spans="1:3" ht="15.75" x14ac:dyDescent="0.25">
      <c r="A7" s="14" t="s">
        <v>102</v>
      </c>
      <c r="B7" s="14"/>
      <c r="C7" s="14"/>
    </row>
    <row r="8" spans="1:3" ht="15.75" x14ac:dyDescent="0.25">
      <c r="A8" s="14" t="s">
        <v>103</v>
      </c>
      <c r="B8" s="14"/>
      <c r="C8" s="1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D209-62B9-4DD6-8C85-10144AE33F06}">
  <dimension ref="A1:G4"/>
  <sheetViews>
    <sheetView workbookViewId="0">
      <selection activeCell="E8" sqref="E8"/>
    </sheetView>
  </sheetViews>
  <sheetFormatPr defaultRowHeight="15" x14ac:dyDescent="0.25"/>
  <cols>
    <col min="2" max="2" width="14.42578125" customWidth="1"/>
    <col min="3" max="3" width="13.140625" customWidth="1"/>
    <col min="4" max="4" width="12.7109375" customWidth="1"/>
    <col min="5" max="5" width="15.85546875" customWidth="1"/>
    <col min="6" max="6" width="13.85546875" customWidth="1"/>
    <col min="7" max="7" width="15.42578125" customWidth="1"/>
  </cols>
  <sheetData>
    <row r="1" spans="1:7" ht="15.75" x14ac:dyDescent="0.25">
      <c r="A1" s="3" t="s">
        <v>104</v>
      </c>
      <c r="B1" s="3" t="s">
        <v>105</v>
      </c>
      <c r="C1" s="11" t="s">
        <v>106</v>
      </c>
      <c r="D1" s="11" t="s">
        <v>11</v>
      </c>
      <c r="E1" s="11" t="s">
        <v>63</v>
      </c>
      <c r="F1" s="11" t="s">
        <v>71</v>
      </c>
      <c r="G1" s="11" t="s">
        <v>107</v>
      </c>
    </row>
    <row r="2" spans="1:7" ht="15.75" x14ac:dyDescent="0.25">
      <c r="A2" s="3" t="s">
        <v>108</v>
      </c>
      <c r="B2" s="3" t="s">
        <v>111</v>
      </c>
      <c r="C2" s="12">
        <v>20</v>
      </c>
      <c r="D2" s="12">
        <v>14</v>
      </c>
      <c r="E2" s="12">
        <v>6</v>
      </c>
      <c r="F2" s="12">
        <v>0.88129100000000005</v>
      </c>
      <c r="G2" s="12" t="s">
        <v>114</v>
      </c>
    </row>
    <row r="3" spans="1:7" ht="15.75" x14ac:dyDescent="0.25">
      <c r="A3" s="3" t="s">
        <v>109</v>
      </c>
      <c r="B3" s="3" t="s">
        <v>112</v>
      </c>
      <c r="C3" s="12">
        <v>6</v>
      </c>
      <c r="D3" s="12">
        <v>0</v>
      </c>
      <c r="E3" s="12">
        <v>6</v>
      </c>
      <c r="F3" s="12">
        <v>0</v>
      </c>
      <c r="G3" s="12" t="s">
        <v>63</v>
      </c>
    </row>
    <row r="4" spans="1:7" ht="15.75" x14ac:dyDescent="0.25">
      <c r="A4" s="3" t="s">
        <v>110</v>
      </c>
      <c r="B4" s="3" t="s">
        <v>113</v>
      </c>
      <c r="C4" s="12">
        <v>14</v>
      </c>
      <c r="D4" s="12">
        <v>14</v>
      </c>
      <c r="E4" s="12">
        <v>0</v>
      </c>
      <c r="F4" s="12">
        <v>0</v>
      </c>
      <c r="G4" s="1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204B-26E0-4C52-B1B2-A097D762E4A9}">
  <dimension ref="A1:C8"/>
  <sheetViews>
    <sheetView workbookViewId="0">
      <selection activeCell="C22" sqref="C22"/>
    </sheetView>
  </sheetViews>
  <sheetFormatPr defaultRowHeight="15" x14ac:dyDescent="0.25"/>
  <cols>
    <col min="2" max="2" width="14.140625" customWidth="1"/>
    <col min="3" max="3" width="16.85546875" customWidth="1"/>
  </cols>
  <sheetData>
    <row r="1" spans="1:3" x14ac:dyDescent="0.25">
      <c r="A1" s="4" t="s">
        <v>72</v>
      </c>
      <c r="B1" s="4" t="s">
        <v>115</v>
      </c>
      <c r="C1" s="4" t="s">
        <v>116</v>
      </c>
    </row>
    <row r="2" spans="1:3" x14ac:dyDescent="0.25">
      <c r="A2" s="3">
        <v>1</v>
      </c>
      <c r="B2" s="3" t="s">
        <v>112</v>
      </c>
      <c r="C2" s="3" t="s">
        <v>63</v>
      </c>
    </row>
    <row r="3" spans="1:3" x14ac:dyDescent="0.25">
      <c r="A3" s="3">
        <v>2</v>
      </c>
      <c r="B3" s="3" t="s">
        <v>113</v>
      </c>
      <c r="C3" s="3" t="s">
        <v>11</v>
      </c>
    </row>
    <row r="8" spans="1:3" x14ac:dyDescent="0.25">
      <c r="C8" t="s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72AF-52C6-46EC-A6C7-19386A2D0CA0}">
  <dimension ref="A1:E39"/>
  <sheetViews>
    <sheetView zoomScale="79" workbookViewId="0">
      <selection activeCell="C28" sqref="C28"/>
    </sheetView>
  </sheetViews>
  <sheetFormatPr defaultRowHeight="15" x14ac:dyDescent="0.25"/>
  <cols>
    <col min="1" max="1" width="23.28515625" customWidth="1"/>
    <col min="2" max="2" width="23.42578125" customWidth="1"/>
    <col min="3" max="3" width="21.42578125" customWidth="1"/>
    <col min="4" max="4" width="20.5703125" customWidth="1"/>
    <col min="5" max="5" width="23" customWidth="1"/>
    <col min="6" max="6" width="13.28515625" customWidth="1"/>
  </cols>
  <sheetData>
    <row r="1" spans="1:5" ht="15.75" x14ac:dyDescent="0.25">
      <c r="A1" s="1" t="s">
        <v>0</v>
      </c>
      <c r="B1" s="1" t="s">
        <v>98</v>
      </c>
      <c r="C1" s="1" t="s">
        <v>123</v>
      </c>
      <c r="D1" s="1" t="s">
        <v>124</v>
      </c>
      <c r="E1" s="1" t="s">
        <v>122</v>
      </c>
    </row>
    <row r="2" spans="1:5" ht="15.75" x14ac:dyDescent="0.25">
      <c r="A2" s="2" t="s">
        <v>6</v>
      </c>
      <c r="B2" s="2">
        <v>62.5</v>
      </c>
      <c r="C2" s="2" t="s">
        <v>11</v>
      </c>
      <c r="D2" s="2" t="str">
        <f>IF(B2&lt;=53,"Tidak Layak Jual","Layak Jual")</f>
        <v>Layak Jual</v>
      </c>
      <c r="E2" s="13" t="str">
        <f>IF(C2=D2,"Benar","Salah")</f>
        <v>Benar</v>
      </c>
    </row>
    <row r="3" spans="1:5" ht="15.75" x14ac:dyDescent="0.25">
      <c r="A3" s="2" t="s">
        <v>12</v>
      </c>
      <c r="B3" s="2">
        <v>64</v>
      </c>
      <c r="C3" s="2" t="s">
        <v>11</v>
      </c>
      <c r="D3" s="2" t="str">
        <f t="shared" ref="D3:D21" si="0">IF(B3&lt;=53,"Tidak Layak Jual","Layak Jual")</f>
        <v>Layak Jual</v>
      </c>
      <c r="E3" s="13" t="str">
        <f t="shared" ref="E3:E21" si="1">IF(C3=D3,"Benar","Salah")</f>
        <v>Benar</v>
      </c>
    </row>
    <row r="4" spans="1:5" ht="15.75" x14ac:dyDescent="0.25">
      <c r="A4" s="2" t="s">
        <v>15</v>
      </c>
      <c r="B4" s="2">
        <v>58</v>
      </c>
      <c r="C4" s="2" t="s">
        <v>11</v>
      </c>
      <c r="D4" s="2" t="str">
        <f t="shared" si="0"/>
        <v>Layak Jual</v>
      </c>
      <c r="E4" s="13" t="str">
        <f t="shared" si="1"/>
        <v>Benar</v>
      </c>
    </row>
    <row r="5" spans="1:5" ht="15.75" x14ac:dyDescent="0.25">
      <c r="A5" s="2" t="s">
        <v>18</v>
      </c>
      <c r="B5" s="2">
        <v>60.2</v>
      </c>
      <c r="C5" s="2" t="s">
        <v>11</v>
      </c>
      <c r="D5" s="2" t="str">
        <f t="shared" si="0"/>
        <v>Layak Jual</v>
      </c>
      <c r="E5" s="13" t="str">
        <f t="shared" si="1"/>
        <v>Benar</v>
      </c>
    </row>
    <row r="6" spans="1:5" ht="15.75" x14ac:dyDescent="0.25">
      <c r="A6" s="2" t="s">
        <v>22</v>
      </c>
      <c r="B6" s="2">
        <v>61.5</v>
      </c>
      <c r="C6" s="2" t="s">
        <v>11</v>
      </c>
      <c r="D6" s="2" t="str">
        <f t="shared" si="0"/>
        <v>Layak Jual</v>
      </c>
      <c r="E6" s="13" t="str">
        <f t="shared" si="1"/>
        <v>Benar</v>
      </c>
    </row>
    <row r="7" spans="1:5" ht="15.75" x14ac:dyDescent="0.25">
      <c r="A7" s="2" t="s">
        <v>24</v>
      </c>
      <c r="B7" s="2">
        <v>59</v>
      </c>
      <c r="C7" s="2" t="s">
        <v>11</v>
      </c>
      <c r="D7" s="2" t="str">
        <f t="shared" si="0"/>
        <v>Layak Jual</v>
      </c>
      <c r="E7" s="13" t="str">
        <f t="shared" si="1"/>
        <v>Benar</v>
      </c>
    </row>
    <row r="8" spans="1:5" ht="15.75" x14ac:dyDescent="0.25">
      <c r="A8" s="2" t="s">
        <v>27</v>
      </c>
      <c r="B8" s="2">
        <v>63.1</v>
      </c>
      <c r="C8" s="2" t="s">
        <v>11</v>
      </c>
      <c r="D8" s="2" t="str">
        <f t="shared" si="0"/>
        <v>Layak Jual</v>
      </c>
      <c r="E8" s="13" t="str">
        <f t="shared" si="1"/>
        <v>Benar</v>
      </c>
    </row>
    <row r="9" spans="1:5" ht="15.75" x14ac:dyDescent="0.25">
      <c r="A9" s="2" t="s">
        <v>30</v>
      </c>
      <c r="B9" s="2">
        <v>65.2</v>
      </c>
      <c r="C9" s="2" t="s">
        <v>11</v>
      </c>
      <c r="D9" s="2" t="str">
        <f t="shared" si="0"/>
        <v>Layak Jual</v>
      </c>
      <c r="E9" s="13" t="str">
        <f t="shared" si="1"/>
        <v>Benar</v>
      </c>
    </row>
    <row r="10" spans="1:5" ht="15.75" x14ac:dyDescent="0.25">
      <c r="A10" s="2" t="s">
        <v>33</v>
      </c>
      <c r="B10" s="2">
        <v>57.5</v>
      </c>
      <c r="C10" s="2" t="s">
        <v>11</v>
      </c>
      <c r="D10" s="2" t="str">
        <f t="shared" si="0"/>
        <v>Layak Jual</v>
      </c>
      <c r="E10" s="13" t="str">
        <f t="shared" si="1"/>
        <v>Benar</v>
      </c>
    </row>
    <row r="11" spans="1:5" ht="15.75" x14ac:dyDescent="0.25">
      <c r="A11" s="2" t="s">
        <v>35</v>
      </c>
      <c r="B11" s="2">
        <v>56</v>
      </c>
      <c r="C11" s="2" t="s">
        <v>11</v>
      </c>
      <c r="D11" s="2" t="str">
        <f t="shared" si="0"/>
        <v>Layak Jual</v>
      </c>
      <c r="E11" s="13" t="str">
        <f t="shared" si="1"/>
        <v>Benar</v>
      </c>
    </row>
    <row r="12" spans="1:5" ht="15.75" x14ac:dyDescent="0.25">
      <c r="A12" s="2" t="s">
        <v>38</v>
      </c>
      <c r="B12" s="2">
        <v>60</v>
      </c>
      <c r="C12" s="2" t="s">
        <v>11</v>
      </c>
      <c r="D12" s="2" t="str">
        <f t="shared" si="0"/>
        <v>Layak Jual</v>
      </c>
      <c r="E12" s="13" t="str">
        <f t="shared" si="1"/>
        <v>Benar</v>
      </c>
    </row>
    <row r="13" spans="1:5" ht="15.75" x14ac:dyDescent="0.25">
      <c r="A13" s="2" t="s">
        <v>40</v>
      </c>
      <c r="B13" s="2">
        <v>45.2</v>
      </c>
      <c r="C13" s="2" t="s">
        <v>63</v>
      </c>
      <c r="D13" s="2" t="str">
        <f t="shared" si="0"/>
        <v>Tidak Layak Jual</v>
      </c>
      <c r="E13" s="13" t="str">
        <f t="shared" si="1"/>
        <v>Benar</v>
      </c>
    </row>
    <row r="14" spans="1:5" ht="15.75" x14ac:dyDescent="0.25">
      <c r="A14" s="2" t="s">
        <v>43</v>
      </c>
      <c r="B14" s="2">
        <v>55</v>
      </c>
      <c r="C14" s="2" t="s">
        <v>11</v>
      </c>
      <c r="D14" s="2" t="str">
        <f t="shared" si="0"/>
        <v>Layak Jual</v>
      </c>
      <c r="E14" s="13" t="str">
        <f t="shared" si="1"/>
        <v>Benar</v>
      </c>
    </row>
    <row r="15" spans="1:5" ht="15.75" x14ac:dyDescent="0.25">
      <c r="A15" s="2" t="s">
        <v>47</v>
      </c>
      <c r="B15" s="2">
        <v>58.5</v>
      </c>
      <c r="C15" s="2" t="s">
        <v>11</v>
      </c>
      <c r="D15" s="2" t="str">
        <f t="shared" si="0"/>
        <v>Layak Jual</v>
      </c>
      <c r="E15" s="13" t="str">
        <f t="shared" si="1"/>
        <v>Benar</v>
      </c>
    </row>
    <row r="16" spans="1:5" ht="15.75" x14ac:dyDescent="0.25">
      <c r="A16" s="2" t="s">
        <v>49</v>
      </c>
      <c r="B16" s="2">
        <v>56.2</v>
      </c>
      <c r="C16" s="2" t="s">
        <v>11</v>
      </c>
      <c r="D16" s="2" t="str">
        <f t="shared" si="0"/>
        <v>Layak Jual</v>
      </c>
      <c r="E16" s="13" t="str">
        <f t="shared" si="1"/>
        <v>Benar</v>
      </c>
    </row>
    <row r="17" spans="1:5" ht="15.75" x14ac:dyDescent="0.25">
      <c r="A17" s="2" t="s">
        <v>51</v>
      </c>
      <c r="B17" s="2">
        <v>48</v>
      </c>
      <c r="C17" s="2" t="s">
        <v>63</v>
      </c>
      <c r="D17" s="2" t="str">
        <f t="shared" si="0"/>
        <v>Tidak Layak Jual</v>
      </c>
      <c r="E17" s="13" t="str">
        <f t="shared" si="1"/>
        <v>Benar</v>
      </c>
    </row>
    <row r="18" spans="1:5" ht="15.75" x14ac:dyDescent="0.25">
      <c r="A18" s="2" t="s">
        <v>54</v>
      </c>
      <c r="B18" s="2">
        <v>49.5</v>
      </c>
      <c r="C18" s="2" t="s">
        <v>63</v>
      </c>
      <c r="D18" s="2" t="str">
        <f t="shared" si="0"/>
        <v>Tidak Layak Jual</v>
      </c>
      <c r="E18" s="13" t="str">
        <f t="shared" si="1"/>
        <v>Benar</v>
      </c>
    </row>
    <row r="19" spans="1:5" ht="15.75" x14ac:dyDescent="0.25">
      <c r="A19" s="2" t="s">
        <v>57</v>
      </c>
      <c r="B19" s="2">
        <v>51</v>
      </c>
      <c r="C19" s="2" t="s">
        <v>63</v>
      </c>
      <c r="D19" s="2" t="str">
        <f t="shared" si="0"/>
        <v>Tidak Layak Jual</v>
      </c>
      <c r="E19" s="13" t="str">
        <f t="shared" si="1"/>
        <v>Benar</v>
      </c>
    </row>
    <row r="20" spans="1:5" ht="15.75" x14ac:dyDescent="0.25">
      <c r="A20" s="2" t="s">
        <v>59</v>
      </c>
      <c r="B20" s="2">
        <v>46.8</v>
      </c>
      <c r="C20" s="2" t="s">
        <v>63</v>
      </c>
      <c r="D20" s="2" t="str">
        <f t="shared" si="0"/>
        <v>Tidak Layak Jual</v>
      </c>
      <c r="E20" s="13" t="str">
        <f t="shared" si="1"/>
        <v>Benar</v>
      </c>
    </row>
    <row r="21" spans="1:5" ht="15.75" x14ac:dyDescent="0.25">
      <c r="A21" s="2" t="s">
        <v>61</v>
      </c>
      <c r="B21" s="2">
        <v>50.2</v>
      </c>
      <c r="C21" s="2" t="s">
        <v>63</v>
      </c>
      <c r="D21" s="2" t="str">
        <f t="shared" si="0"/>
        <v>Tidak Layak Jual</v>
      </c>
      <c r="E21" s="13" t="str">
        <f t="shared" si="1"/>
        <v>Benar</v>
      </c>
    </row>
    <row r="24" spans="1:5" x14ac:dyDescent="0.25">
      <c r="A24" s="9" t="s">
        <v>125</v>
      </c>
      <c r="B24" s="9" t="s">
        <v>70</v>
      </c>
    </row>
    <row r="25" spans="1:5" x14ac:dyDescent="0.25">
      <c r="A25" s="10" t="s">
        <v>126</v>
      </c>
      <c r="B25" s="10">
        <f>COUNTIFS(C2:C21,"Layak Jual",D2:D21,"Layak Jual")</f>
        <v>14</v>
      </c>
    </row>
    <row r="26" spans="1:5" x14ac:dyDescent="0.25">
      <c r="A26" s="10" t="s">
        <v>127</v>
      </c>
      <c r="B26" s="10">
        <f>COUNTIFS(C2:C21,"Layak Jual",D2:D21,"Tidak Layak Jual")</f>
        <v>0</v>
      </c>
    </row>
    <row r="27" spans="1:5" x14ac:dyDescent="0.25">
      <c r="A27" s="10" t="s">
        <v>128</v>
      </c>
      <c r="B27" s="10">
        <f>COUNTIFS(C2:C21,"Tidak Layak Jual",D2:D21,"Layak Jual")</f>
        <v>0</v>
      </c>
    </row>
    <row r="28" spans="1:5" x14ac:dyDescent="0.25">
      <c r="A28" s="10" t="s">
        <v>129</v>
      </c>
      <c r="B28" s="10">
        <f>COUNTIFS(C2:C21,"Tidak Layak Jual",D2:D21,"Tidak Layak Jual")</f>
        <v>6</v>
      </c>
      <c r="C28" s="15" t="s">
        <v>144</v>
      </c>
      <c r="D28" s="15"/>
    </row>
    <row r="30" spans="1:5" ht="15.75" x14ac:dyDescent="0.25">
      <c r="A30" s="14" t="s">
        <v>130</v>
      </c>
      <c r="B30" s="14"/>
      <c r="C30" s="14"/>
      <c r="D30" s="14"/>
    </row>
    <row r="31" spans="1:5" ht="15.75" x14ac:dyDescent="0.25">
      <c r="A31" s="14" t="s">
        <v>131</v>
      </c>
      <c r="B31" s="14"/>
      <c r="C31" s="14"/>
      <c r="D31" s="14"/>
    </row>
    <row r="32" spans="1:5" ht="15.75" x14ac:dyDescent="0.25">
      <c r="A32" s="14" t="s">
        <v>132</v>
      </c>
      <c r="B32" s="14"/>
      <c r="C32" s="14"/>
      <c r="D32" s="14"/>
    </row>
    <row r="33" spans="1:4" ht="15.75" x14ac:dyDescent="0.25">
      <c r="A33" s="14" t="s">
        <v>133</v>
      </c>
      <c r="B33" s="14"/>
      <c r="C33" s="14"/>
      <c r="D33" s="14"/>
    </row>
    <row r="34" spans="1:4" ht="15.75" x14ac:dyDescent="0.25">
      <c r="A34" s="14"/>
      <c r="B34" s="14"/>
      <c r="C34" s="14"/>
      <c r="D34" s="14"/>
    </row>
    <row r="35" spans="1:4" ht="15.75" x14ac:dyDescent="0.25">
      <c r="A35" s="11" t="s">
        <v>134</v>
      </c>
      <c r="B35" s="11" t="s">
        <v>135</v>
      </c>
      <c r="C35" s="11" t="s">
        <v>116</v>
      </c>
    </row>
    <row r="36" spans="1:4" ht="15.75" x14ac:dyDescent="0.25">
      <c r="A36" s="16" t="s">
        <v>136</v>
      </c>
      <c r="B36" t="s">
        <v>141</v>
      </c>
      <c r="C36" s="4">
        <f>(14+6)/(14+0+0+6)*100</f>
        <v>100</v>
      </c>
    </row>
    <row r="37" spans="1:4" ht="15.75" x14ac:dyDescent="0.25">
      <c r="A37" s="16" t="s">
        <v>137</v>
      </c>
      <c r="B37" s="3" t="s">
        <v>140</v>
      </c>
      <c r="C37" s="4">
        <f>14/(14+0)*100</f>
        <v>100</v>
      </c>
    </row>
    <row r="38" spans="1:4" ht="15.75" x14ac:dyDescent="0.25">
      <c r="A38" s="16" t="s">
        <v>138</v>
      </c>
      <c r="B38" s="3" t="s">
        <v>142</v>
      </c>
      <c r="C38" s="4">
        <f>14/(14+0)*100</f>
        <v>100</v>
      </c>
    </row>
    <row r="39" spans="1:4" ht="15.75" x14ac:dyDescent="0.25">
      <c r="A39" s="16" t="s">
        <v>139</v>
      </c>
      <c r="B39" s="3" t="s">
        <v>143</v>
      </c>
      <c r="C39" s="4">
        <f>2*((14/(14+0))*(14/(14+0)))/((14/(14+0))+(14/(14+0)))*100</f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Entropy Awal</vt:lpstr>
      <vt:lpstr>Threshold Berat + Gain</vt:lpstr>
      <vt:lpstr>Threshold Diameter + gain</vt:lpstr>
      <vt:lpstr>Entropy Kondisi Cangkang + Gain</vt:lpstr>
      <vt:lpstr>Warna Cangkang + Gain</vt:lpstr>
      <vt:lpstr>Rekap Gain</vt:lpstr>
      <vt:lpstr>Pohon Keputusan</vt:lpstr>
      <vt:lpstr>Rule C4.5</vt:lpstr>
      <vt:lpstr>Pengujian C45 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ACER-9</dc:creator>
  <cp:lastModifiedBy>ACER-9</cp:lastModifiedBy>
  <dcterms:created xsi:type="dcterms:W3CDTF">2026-08-12T13:30:53Z</dcterms:created>
  <dcterms:modified xsi:type="dcterms:W3CDTF">2026-08-13T04:17:32Z</dcterms:modified>
</cp:coreProperties>
</file>